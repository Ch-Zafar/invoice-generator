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9C92BB30-C300-4576-90C7-B62A8DB9298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urchase Register" sheetId="8" r:id="rId1"/>
    <sheet name="Sale Register" sheetId="9" r:id="rId2"/>
  </sheets>
  <definedNames>
    <definedName name="_xlnm._FilterDatabase" localSheetId="0" hidden="1">'Purchase Register'!$F$4:$N$4</definedName>
    <definedName name="_xlnm._FilterDatabase" localSheetId="1" hidden="1">'Sale Register'!$B$4:$N$42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2" i="9" l="1"/>
  <c r="L42" i="9"/>
  <c r="I42" i="9"/>
  <c r="L41" i="9"/>
  <c r="N41" i="9" s="1"/>
  <c r="B41" i="9"/>
  <c r="L40" i="9" l="1"/>
  <c r="N40" i="9" s="1"/>
  <c r="L39" i="9" l="1"/>
  <c r="N39" i="9" s="1"/>
  <c r="L38" i="9"/>
  <c r="N38" i="9" s="1"/>
  <c r="L37" i="9"/>
  <c r="N37" i="9" s="1"/>
  <c r="L36" i="9"/>
  <c r="N36" i="9" s="1"/>
  <c r="L35" i="9"/>
  <c r="N35" i="9" s="1"/>
  <c r="L34" i="9"/>
  <c r="N34" i="9" s="1"/>
  <c r="L32" i="9"/>
  <c r="N32" i="9" s="1"/>
  <c r="L33" i="9"/>
  <c r="N33" i="9" s="1"/>
  <c r="L31" i="9"/>
  <c r="N31" i="9" s="1"/>
  <c r="L30" i="9" l="1"/>
  <c r="N30" i="9" s="1"/>
  <c r="L29" i="9"/>
  <c r="N29" i="9" s="1"/>
  <c r="L28" i="9" l="1"/>
  <c r="N28" i="9" s="1"/>
  <c r="L27" i="9"/>
  <c r="N27" i="9" s="1"/>
  <c r="L26" i="9"/>
  <c r="N26" i="9" s="1"/>
  <c r="L25" i="9"/>
  <c r="N25" i="9" s="1"/>
  <c r="L24" i="9" l="1"/>
  <c r="N24" i="9" s="1"/>
  <c r="L23" i="9"/>
  <c r="N23" i="9" s="1"/>
  <c r="L22" i="9" l="1"/>
  <c r="N22" i="9" s="1"/>
  <c r="L21" i="9"/>
  <c r="N21" i="9" s="1"/>
  <c r="L20" i="9"/>
  <c r="N20" i="9" s="1"/>
  <c r="L11" i="9" l="1"/>
  <c r="N11" i="9" s="1"/>
  <c r="L19" i="9" l="1"/>
  <c r="N19" i="9" s="1"/>
  <c r="L18" i="9"/>
  <c r="N18" i="9" s="1"/>
  <c r="L15" i="9"/>
  <c r="N15" i="9" s="1"/>
  <c r="L16" i="9" l="1"/>
  <c r="N16" i="9" s="1"/>
  <c r="L17" i="9"/>
  <c r="N17" i="9" s="1"/>
  <c r="L14" i="9" l="1"/>
  <c r="N14" i="9" s="1"/>
  <c r="L13" i="9"/>
  <c r="N13" i="9" s="1"/>
  <c r="L8" i="9" l="1"/>
  <c r="N8" i="9" s="1"/>
  <c r="L12" i="9" l="1"/>
  <c r="L10" i="9"/>
  <c r="N10" i="9" s="1"/>
  <c r="L9" i="9"/>
  <c r="N9" i="9" s="1"/>
  <c r="L7" i="9"/>
  <c r="N7" i="9" s="1"/>
  <c r="L6" i="9"/>
  <c r="N6" i="9" s="1"/>
  <c r="L5" i="9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6" i="8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N12" i="9" l="1"/>
  <c r="N5" i="9"/>
  <c r="B41" i="8"/>
  <c r="B42" i="8" s="1"/>
  <c r="B43" i="8" s="1"/>
  <c r="B44" i="8" s="1"/>
  <c r="B45" i="8" s="1"/>
  <c r="N50" i="8"/>
  <c r="L5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EC8DD605-F3DF-4FA2-AF82-E3FD8B0FAB5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With check digit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7AE8C837-70E3-4D47-8E27-47018B5453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With check digit</t>
        </r>
      </text>
    </comment>
  </commentList>
</comments>
</file>

<file path=xl/sharedStrings.xml><?xml version="1.0" encoding="utf-8"?>
<sst xmlns="http://schemas.openxmlformats.org/spreadsheetml/2006/main" count="214" uniqueCount="27">
  <si>
    <t>QTY</t>
  </si>
  <si>
    <t>GST</t>
  </si>
  <si>
    <t>Party</t>
  </si>
  <si>
    <t>H.S. Code</t>
  </si>
  <si>
    <t>UOM</t>
  </si>
  <si>
    <t>Registered/Unregistered</t>
  </si>
  <si>
    <t>NTN/CNIC</t>
  </si>
  <si>
    <t>Rate</t>
  </si>
  <si>
    <t>Sr. #</t>
  </si>
  <si>
    <t>Amount</t>
  </si>
  <si>
    <t>Date</t>
  </si>
  <si>
    <t>Inv. No.</t>
  </si>
  <si>
    <t>Purchases Feb-2026</t>
  </si>
  <si>
    <t>1257319-1</t>
  </si>
  <si>
    <t>Fashion &amp; Trends (PVT) LTD.</t>
  </si>
  <si>
    <t>Registered</t>
  </si>
  <si>
    <t>2303-2000</t>
  </si>
  <si>
    <t>Tons</t>
  </si>
  <si>
    <t>Sale Tax Rate</t>
  </si>
  <si>
    <t>9823111-7</t>
  </si>
  <si>
    <t>Al Madina Paper and Board Mill</t>
  </si>
  <si>
    <t>7366234-4</t>
  </si>
  <si>
    <t>International Linens Private LTD</t>
  </si>
  <si>
    <t>9000006-A</t>
  </si>
  <si>
    <t>I057505-4</t>
  </si>
  <si>
    <t>IQBAL DAIRY FARMS (PRIVATE) LIMITED</t>
  </si>
  <si>
    <t>Sales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</si>
</sst>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0.0000"/>
    <numFmt numFmtId="165" formatCode="[$-409]d/mmm/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sz val="10"/>
      <name val="Calibri Light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9" fillId="0" borderId="0"/>
  </cellStyleXfs>
  <cellXfs count="107">
    <xf numFmtId="0" fontId="0" fillId="0" borderId="0" xfId="0"/>
    <xf numFmtId="0" fontId="6" fillId="0" borderId="0" xfId="0" applyFont="1"/>
    <xf numFmtId="41" fontId="6" fillId="0" borderId="0" xfId="0" applyNumberFormat="1" applyFont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41" fontId="7" fillId="0" borderId="5" xfId="0" applyNumberFormat="1" applyFont="1" applyBorder="1" applyAlignment="1">
      <alignment horizontal="center" vertical="center" wrapText="1"/>
    </xf>
    <xf numFmtId="41" fontId="7" fillId="0" borderId="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/>
    <xf numFmtId="0" fontId="6" fillId="0" borderId="10" xfId="0" applyFont="1" applyBorder="1"/>
    <xf numFmtId="41" fontId="7" fillId="0" borderId="10" xfId="0" applyNumberFormat="1" applyFont="1" applyBorder="1"/>
    <xf numFmtId="164" fontId="6" fillId="0" borderId="10" xfId="0" applyNumberFormat="1" applyFont="1" applyBorder="1"/>
    <xf numFmtId="41" fontId="7" fillId="0" borderId="14" xfId="0" applyNumberFormat="1" applyFont="1" applyBorder="1"/>
    <xf numFmtId="1" fontId="7" fillId="0" borderId="5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left"/>
    </xf>
    <xf numFmtId="1" fontId="6" fillId="0" borderId="10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0" fontId="6" fillId="0" borderId="16" xfId="0" applyFont="1" applyBorder="1" applyAlignment="1">
      <alignment horizontal="center" vertical="center" wrapText="1"/>
    </xf>
    <xf numFmtId="0" fontId="6" fillId="0" borderId="2" xfId="0" applyFont="1" applyBorder="1"/>
    <xf numFmtId="9" fontId="6" fillId="0" borderId="2" xfId="0" applyNumberFormat="1" applyFont="1" applyBorder="1"/>
    <xf numFmtId="4" fontId="6" fillId="0" borderId="2" xfId="0" applyNumberFormat="1" applyFont="1" applyBorder="1"/>
    <xf numFmtId="4" fontId="6" fillId="0" borderId="8" xfId="0" applyNumberFormat="1" applyFont="1" applyBorder="1"/>
    <xf numFmtId="165" fontId="6" fillId="0" borderId="2" xfId="0" applyNumberFormat="1" applyFont="1" applyBorder="1"/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" fontId="6" fillId="0" borderId="15" xfId="0" applyNumberFormat="1" applyFont="1" applyBorder="1" applyAlignment="1">
      <alignment horizontal="left"/>
    </xf>
    <xf numFmtId="0" fontId="6" fillId="0" borderId="15" xfId="0" applyFont="1" applyBorder="1"/>
    <xf numFmtId="0" fontId="8" fillId="0" borderId="15" xfId="0" applyFont="1" applyBorder="1"/>
    <xf numFmtId="165" fontId="6" fillId="0" borderId="15" xfId="0" applyNumberFormat="1" applyFont="1" applyBorder="1"/>
    <xf numFmtId="164" fontId="8" fillId="0" borderId="15" xfId="5" applyNumberFormat="1" applyFont="1" applyBorder="1"/>
    <xf numFmtId="43" fontId="6" fillId="0" borderId="15" xfId="0" applyNumberFormat="1" applyFont="1" applyBorder="1"/>
    <xf numFmtId="0" fontId="8" fillId="0" borderId="15" xfId="5" applyFont="1" applyBorder="1"/>
    <xf numFmtId="9" fontId="6" fillId="0" borderId="15" xfId="0" applyNumberFormat="1" applyFont="1" applyBorder="1"/>
    <xf numFmtId="4" fontId="6" fillId="0" borderId="15" xfId="0" applyNumberFormat="1" applyFont="1" applyBorder="1"/>
    <xf numFmtId="4" fontId="6" fillId="0" borderId="19" xfId="0" applyNumberFormat="1" applyFont="1" applyBorder="1"/>
    <xf numFmtId="0" fontId="8" fillId="0" borderId="1" xfId="0" applyFont="1" applyBorder="1"/>
    <xf numFmtId="165" fontId="6" fillId="0" borderId="3" xfId="0" applyNumberFormat="1" applyFont="1" applyBorder="1"/>
    <xf numFmtId="164" fontId="8" fillId="0" borderId="1" xfId="5" applyNumberFormat="1" applyFont="1" applyBorder="1"/>
    <xf numFmtId="43" fontId="6" fillId="0" borderId="3" xfId="0" applyNumberFormat="1" applyFont="1" applyBorder="1"/>
    <xf numFmtId="0" fontId="8" fillId="0" borderId="3" xfId="5" applyFont="1" applyBorder="1"/>
    <xf numFmtId="9" fontId="6" fillId="0" borderId="3" xfId="0" applyNumberFormat="1" applyFont="1" applyBorder="1"/>
    <xf numFmtId="4" fontId="6" fillId="0" borderId="3" xfId="0" applyNumberFormat="1" applyFont="1" applyBorder="1"/>
    <xf numFmtId="4" fontId="6" fillId="0" borderId="17" xfId="0" applyNumberFormat="1" applyFont="1" applyBorder="1"/>
    <xf numFmtId="0" fontId="8" fillId="0" borderId="2" xfId="0" applyFont="1" applyBorder="1"/>
    <xf numFmtId="164" fontId="8" fillId="0" borderId="2" xfId="5" applyNumberFormat="1" applyFont="1" applyBorder="1"/>
    <xf numFmtId="43" fontId="6" fillId="0" borderId="2" xfId="0" applyNumberFormat="1" applyFont="1" applyBorder="1"/>
    <xf numFmtId="0" fontId="8" fillId="0" borderId="2" xfId="5" applyFont="1" applyBorder="1"/>
    <xf numFmtId="41" fontId="7" fillId="0" borderId="20" xfId="0" applyNumberFormat="1" applyFont="1" applyBorder="1" applyAlignment="1">
      <alignment horizontal="center" vertical="center" wrapText="1"/>
    </xf>
    <xf numFmtId="4" fontId="6" fillId="0" borderId="21" xfId="0" applyNumberFormat="1" applyFont="1" applyBorder="1"/>
    <xf numFmtId="4" fontId="6" fillId="0" borderId="22" xfId="0" applyNumberFormat="1" applyFont="1" applyBorder="1"/>
    <xf numFmtId="4" fontId="6" fillId="0" borderId="23" xfId="0" applyNumberFormat="1" applyFont="1" applyBorder="1"/>
    <xf numFmtId="41" fontId="7" fillId="0" borderId="24" xfId="0" applyNumberFormat="1" applyFont="1" applyBorder="1"/>
    <xf numFmtId="0" fontId="13" fillId="0" borderId="3" xfId="0" applyFont="1" applyBorder="1" applyAlignment="1">
      <alignment horizontal="left"/>
    </xf>
    <xf numFmtId="0" fontId="0" fillId="0" borderId="25" xfId="0" applyBorder="1"/>
    <xf numFmtId="14" fontId="13" fillId="0" borderId="25" xfId="0" applyNumberFormat="1" applyFont="1" applyBorder="1"/>
    <xf numFmtId="1" fontId="13" fillId="0" borderId="25" xfId="0" applyNumberFormat="1" applyFont="1" applyBorder="1" applyAlignment="1">
      <alignment horizontal="left"/>
    </xf>
    <xf numFmtId="0" fontId="13" fillId="0" borderId="25" xfId="0" applyFont="1" applyBorder="1" applyAlignment="1">
      <alignment horizontal="left"/>
    </xf>
    <xf numFmtId="165" fontId="13" fillId="0" borderId="25" xfId="0" applyNumberFormat="1" applyFont="1" applyBorder="1"/>
    <xf numFmtId="164" fontId="14" fillId="0" borderId="25" xfId="2" quotePrefix="1" applyNumberFormat="1" applyFont="1" applyBorder="1"/>
    <xf numFmtId="43" fontId="15" fillId="0" borderId="25" xfId="2" applyNumberFormat="1" applyFont="1" applyBorder="1"/>
    <xf numFmtId="0" fontId="13" fillId="0" borderId="25" xfId="0" applyFont="1" applyBorder="1"/>
    <xf numFmtId="3" fontId="16" fillId="0" borderId="25" xfId="0" applyNumberFormat="1" applyFont="1" applyBorder="1"/>
    <xf numFmtId="4" fontId="13" fillId="0" borderId="25" xfId="0" applyNumberFormat="1" applyFont="1" applyBorder="1"/>
    <xf numFmtId="41" fontId="13" fillId="0" borderId="25" xfId="0" applyNumberFormat="1" applyFont="1" applyBorder="1" applyAlignment="1">
      <alignment horizontal="center"/>
    </xf>
    <xf numFmtId="165" fontId="13" fillId="2" borderId="25" xfId="0" applyNumberFormat="1" applyFont="1" applyFill="1" applyBorder="1"/>
    <xf numFmtId="0" fontId="11" fillId="0" borderId="25" xfId="0" applyFont="1" applyBorder="1"/>
    <xf numFmtId="0" fontId="12" fillId="0" borderId="25" xfId="0" applyFont="1" applyBorder="1" applyAlignment="1">
      <alignment horizontal="right" vertical="center"/>
    </xf>
    <xf numFmtId="0" fontId="13" fillId="0" borderId="26" xfId="0" applyFont="1" applyBorder="1" applyAlignment="1">
      <alignment horizontal="center"/>
    </xf>
    <xf numFmtId="1" fontId="13" fillId="0" borderId="26" xfId="0" applyNumberFormat="1" applyFont="1" applyBorder="1" applyAlignment="1">
      <alignment horizontal="left"/>
    </xf>
    <xf numFmtId="14" fontId="13" fillId="0" borderId="26" xfId="0" applyNumberFormat="1" applyFont="1" applyBorder="1"/>
    <xf numFmtId="0" fontId="13" fillId="0" borderId="26" xfId="0" applyFont="1" applyBorder="1" applyAlignment="1">
      <alignment horizontal="left"/>
    </xf>
    <xf numFmtId="165" fontId="13" fillId="0" borderId="26" xfId="0" applyNumberFormat="1" applyFont="1" applyBorder="1"/>
    <xf numFmtId="164" fontId="14" fillId="0" borderId="26" xfId="2" quotePrefix="1" applyNumberFormat="1" applyFont="1" applyBorder="1"/>
    <xf numFmtId="43" fontId="15" fillId="0" borderId="26" xfId="2" applyNumberFormat="1" applyFont="1" applyBorder="1"/>
    <xf numFmtId="0" fontId="13" fillId="0" borderId="26" xfId="0" applyFont="1" applyBorder="1"/>
    <xf numFmtId="3" fontId="16" fillId="0" borderId="26" xfId="0" applyNumberFormat="1" applyFont="1" applyBorder="1"/>
    <xf numFmtId="4" fontId="13" fillId="0" borderId="26" xfId="0" applyNumberFormat="1" applyFont="1" applyBorder="1"/>
    <xf numFmtId="41" fontId="13" fillId="0" borderId="3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left"/>
    </xf>
    <xf numFmtId="14" fontId="13" fillId="0" borderId="3" xfId="0" applyNumberFormat="1" applyFont="1" applyBorder="1"/>
    <xf numFmtId="165" fontId="13" fillId="0" borderId="3" xfId="0" applyNumberFormat="1" applyFont="1" applyBorder="1"/>
    <xf numFmtId="164" fontId="14" fillId="0" borderId="3" xfId="2" quotePrefix="1" applyNumberFormat="1" applyFont="1" applyBorder="1"/>
    <xf numFmtId="0" fontId="12" fillId="0" borderId="3" xfId="0" applyFont="1" applyBorder="1" applyAlignment="1">
      <alignment horizontal="right" vertical="center"/>
    </xf>
    <xf numFmtId="0" fontId="13" fillId="0" borderId="3" xfId="0" applyFont="1" applyBorder="1"/>
    <xf numFmtId="3" fontId="16" fillId="0" borderId="3" xfId="0" applyNumberFormat="1" applyFont="1" applyBorder="1"/>
    <xf numFmtId="4" fontId="13" fillId="0" borderId="3" xfId="0" applyNumberFormat="1" applyFont="1" applyBorder="1"/>
    <xf numFmtId="0" fontId="7" fillId="0" borderId="27" xfId="0" applyFont="1" applyBorder="1" applyAlignment="1">
      <alignment horizontal="center" vertical="center" wrapText="1"/>
    </xf>
    <xf numFmtId="1" fontId="7" fillId="0" borderId="28" xfId="0" applyNumberFormat="1" applyFont="1" applyBorder="1" applyAlignment="1">
      <alignment horizontal="left" vertical="center" wrapText="1"/>
    </xf>
    <xf numFmtId="0" fontId="7" fillId="0" borderId="29" xfId="0" applyFont="1" applyBorder="1" applyAlignment="1">
      <alignment horizontal="center" vertical="center" wrapText="1"/>
    </xf>
    <xf numFmtId="41" fontId="7" fillId="0" borderId="29" xfId="0" applyNumberFormat="1" applyFont="1" applyBorder="1" applyAlignment="1">
      <alignment horizontal="center" vertical="center" wrapText="1"/>
    </xf>
    <xf numFmtId="41" fontId="7" fillId="0" borderId="30" xfId="0" applyNumberFormat="1" applyFont="1" applyBorder="1" applyAlignment="1">
      <alignment horizontal="center" vertical="center" wrapText="1"/>
    </xf>
    <xf numFmtId="41" fontId="7" fillId="0" borderId="31" xfId="0" applyNumberFormat="1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/>
    </xf>
    <xf numFmtId="1" fontId="6" fillId="0" borderId="33" xfId="0" applyNumberFormat="1" applyFont="1" applyBorder="1" applyAlignment="1">
      <alignment horizontal="left"/>
    </xf>
    <xf numFmtId="0" fontId="6" fillId="0" borderId="34" xfId="0" applyFont="1" applyBorder="1"/>
    <xf numFmtId="0" fontId="6" fillId="0" borderId="34" xfId="0" applyFont="1" applyBorder="1" applyAlignment="1">
      <alignment horizontal="left"/>
    </xf>
    <xf numFmtId="43" fontId="6" fillId="0" borderId="34" xfId="0" applyNumberFormat="1" applyFont="1" applyBorder="1"/>
    <xf numFmtId="41" fontId="7" fillId="0" borderId="35" xfId="1" applyNumberFormat="1" applyFont="1" applyFill="1" applyBorder="1"/>
    <xf numFmtId="0" fontId="12" fillId="0" borderId="36" xfId="0" applyFont="1" applyBorder="1" applyAlignment="1">
      <alignment horizontal="right" vertic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</cellXfs>
  <cellStyles count="6">
    <cellStyle name="Comma" xfId="1" builtinId="3"/>
    <cellStyle name="Normal" xfId="0" builtinId="0"/>
    <cellStyle name="Normal 2" xfId="2" xr:uid="{6F7D67E1-B8BF-43CD-8783-884978ACBEE5}"/>
    <cellStyle name="Normal 3" xfId="3" xr:uid="{38FC9AD7-B526-4DC3-8F9D-45B956B59A86}"/>
    <cellStyle name="Normal 3 2" xfId="4" xr:uid="{677FC4E7-AE8C-4661-BCC1-675820771E60}"/>
    <cellStyle name="Normal 4" xfId="5" xr:uid="{90BDC56C-4487-4534-BE6A-8FDF15CB5B6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9921-2CC8-4E4C-892C-02F3C5672981}">
  <dimension ref="B1:N51"/>
  <sheetViews>
    <sheetView showGridLines="0" zoomScale="85" zoomScaleNormal="85" workbookViewId="0">
      <selection activeCell="D52" sqref="D52"/>
    </sheetView>
  </sheetViews>
  <sheetFormatPr defaultColWidth="9.140625" defaultRowHeight="12.75" x14ac:dyDescent="0.2"/>
  <cols>
    <col min="1" max="1" width="2.42578125" style="1" customWidth="1"/>
    <col min="2" max="2" width="3.140625" style="27" bestFit="1" customWidth="1"/>
    <col min="3" max="3" width="14.5703125" style="14" bestFit="1" customWidth="1"/>
    <col min="4" max="4" width="39.5703125" style="1" bestFit="1" customWidth="1"/>
    <col min="5" max="5" width="14.42578125" style="1" bestFit="1" customWidth="1"/>
    <col min="6" max="6" width="15.85546875" style="16" customWidth="1"/>
    <col min="7" max="7" width="11.85546875" style="1" customWidth="1"/>
    <col min="8" max="8" width="9.42578125" style="1" bestFit="1" customWidth="1"/>
    <col min="9" max="9" width="12.5703125" style="1" bestFit="1" customWidth="1"/>
    <col min="10" max="10" width="11" style="1" bestFit="1" customWidth="1"/>
    <col min="11" max="11" width="10.5703125" style="1" bestFit="1" customWidth="1"/>
    <col min="12" max="12" width="15.42578125" style="2" bestFit="1" customWidth="1"/>
    <col min="13" max="13" width="15.42578125" style="2" customWidth="1"/>
    <col min="14" max="14" width="14.42578125" style="2" bestFit="1" customWidth="1"/>
    <col min="15" max="16384" width="9.140625" style="1"/>
  </cols>
  <sheetData>
    <row r="1" spans="2:14" ht="13.5" thickBot="1" x14ac:dyDescent="0.25"/>
    <row r="2" spans="2:14" ht="14.25" thickTop="1" thickBot="1" x14ac:dyDescent="0.25">
      <c r="B2" s="104" t="s">
        <v>12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2:14" ht="14.25" thickTop="1" thickBot="1" x14ac:dyDescent="0.25"/>
    <row r="4" spans="2:14" ht="26.25" thickTop="1" x14ac:dyDescent="0.2">
      <c r="B4" s="3" t="s">
        <v>8</v>
      </c>
      <c r="C4" s="13" t="s">
        <v>6</v>
      </c>
      <c r="D4" s="4" t="s">
        <v>2</v>
      </c>
      <c r="E4" s="4" t="s">
        <v>5</v>
      </c>
      <c r="F4" s="4" t="s">
        <v>11</v>
      </c>
      <c r="G4" s="4" t="s">
        <v>10</v>
      </c>
      <c r="H4" s="4" t="s">
        <v>3</v>
      </c>
      <c r="I4" s="4" t="s">
        <v>0</v>
      </c>
      <c r="J4" s="4" t="s">
        <v>4</v>
      </c>
      <c r="K4" s="4" t="s">
        <v>7</v>
      </c>
      <c r="L4" s="5" t="s">
        <v>9</v>
      </c>
      <c r="M4" s="52" t="s">
        <v>18</v>
      </c>
      <c r="N4" s="6" t="s">
        <v>1</v>
      </c>
    </row>
    <row r="5" spans="2:14" x14ac:dyDescent="0.2">
      <c r="B5" s="18">
        <v>1</v>
      </c>
      <c r="C5" s="20"/>
      <c r="D5" s="8"/>
      <c r="E5" s="40"/>
      <c r="F5" s="8"/>
      <c r="G5" s="41"/>
      <c r="H5" s="42"/>
      <c r="I5" s="43"/>
      <c r="J5" s="44"/>
      <c r="K5" s="45"/>
      <c r="L5" s="46"/>
      <c r="M5" s="54"/>
      <c r="N5" s="47"/>
    </row>
    <row r="6" spans="2:14" x14ac:dyDescent="0.2">
      <c r="B6" s="21">
        <f>B5+1</f>
        <v>2</v>
      </c>
      <c r="C6" s="19"/>
      <c r="D6" s="22"/>
      <c r="E6" s="48"/>
      <c r="F6" s="22"/>
      <c r="G6" s="26"/>
      <c r="H6" s="49"/>
      <c r="I6" s="50"/>
      <c r="J6" s="51"/>
      <c r="K6" s="23"/>
      <c r="L6" s="24"/>
      <c r="M6" s="53"/>
      <c r="N6" s="25"/>
    </row>
    <row r="7" spans="2:14" x14ac:dyDescent="0.2">
      <c r="B7" s="21">
        <f t="shared" ref="B7:B43" si="0">B6+1</f>
        <v>3</v>
      </c>
      <c r="C7" s="19"/>
      <c r="D7" s="22"/>
      <c r="E7" s="48"/>
      <c r="F7" s="22"/>
      <c r="G7" s="26"/>
      <c r="H7" s="49"/>
      <c r="I7" s="50"/>
      <c r="J7" s="51"/>
      <c r="K7" s="23"/>
      <c r="L7" s="24"/>
      <c r="M7" s="53"/>
      <c r="N7" s="25"/>
    </row>
    <row r="8" spans="2:14" x14ac:dyDescent="0.2">
      <c r="B8" s="21">
        <f t="shared" si="0"/>
        <v>4</v>
      </c>
      <c r="C8" s="19"/>
      <c r="D8" s="22"/>
      <c r="E8" s="48"/>
      <c r="F8" s="22"/>
      <c r="G8" s="26"/>
      <c r="H8" s="49"/>
      <c r="I8" s="50"/>
      <c r="J8" s="51"/>
      <c r="K8" s="23"/>
      <c r="L8" s="24"/>
      <c r="M8" s="53"/>
      <c r="N8" s="25"/>
    </row>
    <row r="9" spans="2:14" x14ac:dyDescent="0.2">
      <c r="B9" s="21">
        <f t="shared" si="0"/>
        <v>5</v>
      </c>
      <c r="C9" s="19"/>
      <c r="D9" s="22"/>
      <c r="E9" s="48"/>
      <c r="F9" s="22"/>
      <c r="G9" s="26"/>
      <c r="H9" s="49"/>
      <c r="I9" s="50"/>
      <c r="J9" s="51"/>
      <c r="K9" s="23"/>
      <c r="L9" s="24"/>
      <c r="M9" s="53"/>
      <c r="N9" s="25"/>
    </row>
    <row r="10" spans="2:14" x14ac:dyDescent="0.2">
      <c r="B10" s="21">
        <f t="shared" si="0"/>
        <v>6</v>
      </c>
      <c r="C10" s="19"/>
      <c r="D10" s="22"/>
      <c r="E10" s="48"/>
      <c r="F10" s="22"/>
      <c r="G10" s="26"/>
      <c r="H10" s="49"/>
      <c r="I10" s="50"/>
      <c r="J10" s="51"/>
      <c r="K10" s="23"/>
      <c r="L10" s="24"/>
      <c r="M10" s="53"/>
      <c r="N10" s="25"/>
    </row>
    <row r="11" spans="2:14" x14ac:dyDescent="0.2">
      <c r="B11" s="21">
        <f t="shared" si="0"/>
        <v>7</v>
      </c>
      <c r="C11" s="19"/>
      <c r="D11" s="22"/>
      <c r="E11" s="48"/>
      <c r="F11" s="22"/>
      <c r="G11" s="26"/>
      <c r="H11" s="49"/>
      <c r="I11" s="50"/>
      <c r="J11" s="51"/>
      <c r="K11" s="23"/>
      <c r="L11" s="24"/>
      <c r="M11" s="53"/>
      <c r="N11" s="25"/>
    </row>
    <row r="12" spans="2:14" x14ac:dyDescent="0.2">
      <c r="B12" s="21">
        <f t="shared" si="0"/>
        <v>8</v>
      </c>
      <c r="C12" s="19"/>
      <c r="D12" s="22"/>
      <c r="E12" s="48"/>
      <c r="F12" s="22"/>
      <c r="G12" s="26"/>
      <c r="H12" s="49"/>
      <c r="I12" s="50"/>
      <c r="J12" s="51"/>
      <c r="K12" s="23"/>
      <c r="L12" s="24"/>
      <c r="M12" s="53"/>
      <c r="N12" s="25"/>
    </row>
    <row r="13" spans="2:14" x14ac:dyDescent="0.2">
      <c r="B13" s="21">
        <f t="shared" si="0"/>
        <v>9</v>
      </c>
      <c r="C13" s="19"/>
      <c r="D13" s="22"/>
      <c r="E13" s="48"/>
      <c r="F13" s="22"/>
      <c r="G13" s="26"/>
      <c r="H13" s="49"/>
      <c r="I13" s="50"/>
      <c r="J13" s="51"/>
      <c r="K13" s="23"/>
      <c r="L13" s="24"/>
      <c r="M13" s="53"/>
      <c r="N13" s="25"/>
    </row>
    <row r="14" spans="2:14" x14ac:dyDescent="0.2">
      <c r="B14" s="21">
        <f t="shared" si="0"/>
        <v>10</v>
      </c>
      <c r="C14" s="19"/>
      <c r="D14" s="22"/>
      <c r="E14" s="48"/>
      <c r="F14" s="22"/>
      <c r="G14" s="26"/>
      <c r="H14" s="49"/>
      <c r="I14" s="50"/>
      <c r="J14" s="51"/>
      <c r="K14" s="23"/>
      <c r="L14" s="24"/>
      <c r="M14" s="53"/>
      <c r="N14" s="25"/>
    </row>
    <row r="15" spans="2:14" x14ac:dyDescent="0.2">
      <c r="B15" s="21">
        <f t="shared" ref="B15:B40" si="1">B14+1</f>
        <v>11</v>
      </c>
      <c r="C15" s="19"/>
      <c r="D15" s="22"/>
      <c r="E15" s="48"/>
      <c r="F15" s="22"/>
      <c r="G15" s="26"/>
      <c r="H15" s="49"/>
      <c r="I15" s="50"/>
      <c r="J15" s="51"/>
      <c r="K15" s="23"/>
      <c r="L15" s="24"/>
      <c r="M15" s="53"/>
      <c r="N15" s="25"/>
    </row>
    <row r="16" spans="2:14" x14ac:dyDescent="0.2">
      <c r="B16" s="21">
        <f t="shared" si="1"/>
        <v>12</v>
      </c>
      <c r="C16" s="19"/>
      <c r="D16" s="22"/>
      <c r="E16" s="48"/>
      <c r="F16" s="22"/>
      <c r="G16" s="26"/>
      <c r="H16" s="49"/>
      <c r="I16" s="50"/>
      <c r="J16" s="51"/>
      <c r="K16" s="23"/>
      <c r="L16" s="24"/>
      <c r="M16" s="53"/>
      <c r="N16" s="25"/>
    </row>
    <row r="17" spans="2:14" x14ac:dyDescent="0.2">
      <c r="B17" s="21">
        <f t="shared" si="1"/>
        <v>13</v>
      </c>
      <c r="C17" s="19"/>
      <c r="D17" s="22"/>
      <c r="E17" s="48"/>
      <c r="F17" s="22"/>
      <c r="G17" s="26"/>
      <c r="H17" s="49"/>
      <c r="I17" s="50"/>
      <c r="J17" s="51"/>
      <c r="K17" s="23"/>
      <c r="L17" s="24"/>
      <c r="M17" s="53"/>
      <c r="N17" s="25"/>
    </row>
    <row r="18" spans="2:14" x14ac:dyDescent="0.2">
      <c r="B18" s="21">
        <f t="shared" si="1"/>
        <v>14</v>
      </c>
      <c r="C18" s="19"/>
      <c r="D18" s="22"/>
      <c r="E18" s="48"/>
      <c r="F18" s="22"/>
      <c r="G18" s="26"/>
      <c r="H18" s="49"/>
      <c r="I18" s="50"/>
      <c r="J18" s="51"/>
      <c r="K18" s="23"/>
      <c r="L18" s="24"/>
      <c r="M18" s="53"/>
      <c r="N18" s="25"/>
    </row>
    <row r="19" spans="2:14" x14ac:dyDescent="0.2">
      <c r="B19" s="21">
        <f t="shared" si="1"/>
        <v>15</v>
      </c>
      <c r="C19" s="19"/>
      <c r="D19" s="22"/>
      <c r="E19" s="48"/>
      <c r="F19" s="22"/>
      <c r="G19" s="26"/>
      <c r="H19" s="49"/>
      <c r="I19" s="50"/>
      <c r="J19" s="51"/>
      <c r="K19" s="23"/>
      <c r="L19" s="24"/>
      <c r="M19" s="53"/>
      <c r="N19" s="25"/>
    </row>
    <row r="20" spans="2:14" x14ac:dyDescent="0.2">
      <c r="B20" s="21">
        <f t="shared" si="1"/>
        <v>16</v>
      </c>
      <c r="C20" s="19"/>
      <c r="D20" s="22"/>
      <c r="E20" s="48"/>
      <c r="F20" s="22"/>
      <c r="G20" s="26"/>
      <c r="H20" s="49"/>
      <c r="I20" s="50"/>
      <c r="J20" s="51"/>
      <c r="K20" s="23"/>
      <c r="L20" s="24"/>
      <c r="M20" s="53"/>
      <c r="N20" s="25"/>
    </row>
    <row r="21" spans="2:14" x14ac:dyDescent="0.2">
      <c r="B21" s="21">
        <f t="shared" si="1"/>
        <v>17</v>
      </c>
      <c r="C21" s="19"/>
      <c r="D21" s="22"/>
      <c r="E21" s="48"/>
      <c r="F21" s="22"/>
      <c r="G21" s="26"/>
      <c r="H21" s="49"/>
      <c r="I21" s="50"/>
      <c r="J21" s="51"/>
      <c r="K21" s="23"/>
      <c r="L21" s="24"/>
      <c r="M21" s="53"/>
      <c r="N21" s="25"/>
    </row>
    <row r="22" spans="2:14" x14ac:dyDescent="0.2">
      <c r="B22" s="21">
        <f t="shared" si="1"/>
        <v>18</v>
      </c>
      <c r="C22" s="19"/>
      <c r="D22" s="22"/>
      <c r="E22" s="48"/>
      <c r="F22" s="22"/>
      <c r="G22" s="26"/>
      <c r="H22" s="49"/>
      <c r="I22" s="50"/>
      <c r="J22" s="51"/>
      <c r="K22" s="23"/>
      <c r="L22" s="24"/>
      <c r="M22" s="53"/>
      <c r="N22" s="25"/>
    </row>
    <row r="23" spans="2:14" x14ac:dyDescent="0.2">
      <c r="B23" s="21">
        <f t="shared" si="1"/>
        <v>19</v>
      </c>
      <c r="C23" s="19"/>
      <c r="D23" s="22"/>
      <c r="E23" s="48"/>
      <c r="F23" s="22"/>
      <c r="G23" s="26"/>
      <c r="H23" s="49"/>
      <c r="I23" s="50"/>
      <c r="J23" s="51"/>
      <c r="K23" s="23"/>
      <c r="L23" s="24"/>
      <c r="M23" s="53"/>
      <c r="N23" s="25"/>
    </row>
    <row r="24" spans="2:14" x14ac:dyDescent="0.2">
      <c r="B24" s="21">
        <f t="shared" si="1"/>
        <v>20</v>
      </c>
      <c r="C24" s="19"/>
      <c r="D24" s="22"/>
      <c r="E24" s="48"/>
      <c r="F24" s="22"/>
      <c r="G24" s="26"/>
      <c r="H24" s="49"/>
      <c r="I24" s="50"/>
      <c r="J24" s="51"/>
      <c r="K24" s="23"/>
      <c r="L24" s="24"/>
      <c r="M24" s="53"/>
      <c r="N24" s="25"/>
    </row>
    <row r="25" spans="2:14" x14ac:dyDescent="0.2">
      <c r="B25" s="21">
        <f t="shared" si="1"/>
        <v>21</v>
      </c>
      <c r="C25" s="19"/>
      <c r="D25" s="22"/>
      <c r="E25" s="48"/>
      <c r="F25" s="22"/>
      <c r="G25" s="26"/>
      <c r="H25" s="49"/>
      <c r="I25" s="50"/>
      <c r="J25" s="51"/>
      <c r="K25" s="23"/>
      <c r="L25" s="24"/>
      <c r="M25" s="53"/>
      <c r="N25" s="25"/>
    </row>
    <row r="26" spans="2:14" x14ac:dyDescent="0.2">
      <c r="B26" s="21">
        <f t="shared" si="1"/>
        <v>22</v>
      </c>
      <c r="C26" s="19"/>
      <c r="D26" s="22"/>
      <c r="E26" s="48"/>
      <c r="F26" s="22"/>
      <c r="G26" s="26"/>
      <c r="H26" s="49"/>
      <c r="I26" s="50"/>
      <c r="J26" s="51"/>
      <c r="K26" s="23"/>
      <c r="L26" s="24"/>
      <c r="M26" s="53"/>
      <c r="N26" s="25"/>
    </row>
    <row r="27" spans="2:14" x14ac:dyDescent="0.2">
      <c r="B27" s="21">
        <f t="shared" si="1"/>
        <v>23</v>
      </c>
      <c r="C27" s="19"/>
      <c r="D27" s="22"/>
      <c r="E27" s="48"/>
      <c r="F27" s="22"/>
      <c r="G27" s="26"/>
      <c r="H27" s="49"/>
      <c r="I27" s="50"/>
      <c r="J27" s="51"/>
      <c r="K27" s="23"/>
      <c r="L27" s="24"/>
      <c r="M27" s="53"/>
      <c r="N27" s="25"/>
    </row>
    <row r="28" spans="2:14" x14ac:dyDescent="0.2">
      <c r="B28" s="21">
        <f t="shared" si="1"/>
        <v>24</v>
      </c>
      <c r="C28" s="19"/>
      <c r="D28" s="22"/>
      <c r="E28" s="48"/>
      <c r="F28" s="22"/>
      <c r="G28" s="26"/>
      <c r="H28" s="49"/>
      <c r="I28" s="50"/>
      <c r="J28" s="51"/>
      <c r="K28" s="23"/>
      <c r="L28" s="24"/>
      <c r="M28" s="53"/>
      <c r="N28" s="25"/>
    </row>
    <row r="29" spans="2:14" x14ac:dyDescent="0.2">
      <c r="B29" s="21">
        <f t="shared" si="1"/>
        <v>25</v>
      </c>
      <c r="C29" s="19"/>
      <c r="D29" s="22"/>
      <c r="E29" s="48"/>
      <c r="F29" s="22"/>
      <c r="G29" s="26"/>
      <c r="H29" s="49"/>
      <c r="I29" s="50"/>
      <c r="J29" s="51"/>
      <c r="K29" s="23"/>
      <c r="L29" s="24"/>
      <c r="M29" s="53"/>
      <c r="N29" s="25"/>
    </row>
    <row r="30" spans="2:14" x14ac:dyDescent="0.2">
      <c r="B30" s="21">
        <f t="shared" si="1"/>
        <v>26</v>
      </c>
      <c r="C30" s="19"/>
      <c r="D30" s="22"/>
      <c r="E30" s="48"/>
      <c r="F30" s="22"/>
      <c r="G30" s="26"/>
      <c r="H30" s="49"/>
      <c r="I30" s="50"/>
      <c r="J30" s="51"/>
      <c r="K30" s="23"/>
      <c r="L30" s="24"/>
      <c r="M30" s="53"/>
      <c r="N30" s="25"/>
    </row>
    <row r="31" spans="2:14" x14ac:dyDescent="0.2">
      <c r="B31" s="21">
        <f t="shared" si="1"/>
        <v>27</v>
      </c>
      <c r="C31" s="19"/>
      <c r="D31" s="22"/>
      <c r="E31" s="48"/>
      <c r="F31" s="22"/>
      <c r="G31" s="26"/>
      <c r="H31" s="49"/>
      <c r="I31" s="50"/>
      <c r="J31" s="51"/>
      <c r="K31" s="23"/>
      <c r="L31" s="24"/>
      <c r="M31" s="53"/>
      <c r="N31" s="25"/>
    </row>
    <row r="32" spans="2:14" x14ac:dyDescent="0.2">
      <c r="B32" s="21">
        <f t="shared" si="1"/>
        <v>28</v>
      </c>
      <c r="C32" s="19"/>
      <c r="D32" s="22"/>
      <c r="E32" s="48"/>
      <c r="F32" s="22"/>
      <c r="G32" s="26"/>
      <c r="H32" s="49"/>
      <c r="I32" s="50"/>
      <c r="J32" s="51"/>
      <c r="K32" s="23"/>
      <c r="L32" s="24"/>
      <c r="M32" s="53"/>
      <c r="N32" s="25"/>
    </row>
    <row r="33" spans="2:14" x14ac:dyDescent="0.2">
      <c r="B33" s="21">
        <f t="shared" si="1"/>
        <v>29</v>
      </c>
      <c r="C33" s="19"/>
      <c r="D33" s="22"/>
      <c r="E33" s="48"/>
      <c r="F33" s="22"/>
      <c r="G33" s="26"/>
      <c r="H33" s="49"/>
      <c r="I33" s="50"/>
      <c r="J33" s="51"/>
      <c r="K33" s="23"/>
      <c r="L33" s="24"/>
      <c r="M33" s="53"/>
      <c r="N33" s="25"/>
    </row>
    <row r="34" spans="2:14" x14ac:dyDescent="0.2">
      <c r="B34" s="21">
        <f t="shared" si="1"/>
        <v>30</v>
      </c>
      <c r="C34" s="19"/>
      <c r="D34" s="22"/>
      <c r="E34" s="48"/>
      <c r="F34" s="22"/>
      <c r="G34" s="26"/>
      <c r="H34" s="49"/>
      <c r="I34" s="50"/>
      <c r="J34" s="51"/>
      <c r="K34" s="23"/>
      <c r="L34" s="24"/>
      <c r="M34" s="53"/>
      <c r="N34" s="25"/>
    </row>
    <row r="35" spans="2:14" x14ac:dyDescent="0.2">
      <c r="B35" s="21">
        <f t="shared" si="1"/>
        <v>31</v>
      </c>
      <c r="C35" s="19"/>
      <c r="D35" s="22"/>
      <c r="E35" s="48"/>
      <c r="F35" s="22"/>
      <c r="G35" s="26"/>
      <c r="H35" s="49"/>
      <c r="I35" s="50"/>
      <c r="J35" s="51"/>
      <c r="K35" s="23"/>
      <c r="L35" s="24"/>
      <c r="M35" s="53"/>
      <c r="N35" s="25"/>
    </row>
    <row r="36" spans="2:14" x14ac:dyDescent="0.2">
      <c r="B36" s="21">
        <f t="shared" si="1"/>
        <v>32</v>
      </c>
      <c r="C36" s="19"/>
      <c r="D36" s="22"/>
      <c r="E36" s="48"/>
      <c r="F36" s="22"/>
      <c r="G36" s="26"/>
      <c r="H36" s="49"/>
      <c r="I36" s="50"/>
      <c r="J36" s="51"/>
      <c r="K36" s="23"/>
      <c r="L36" s="24"/>
      <c r="M36" s="53"/>
      <c r="N36" s="25"/>
    </row>
    <row r="37" spans="2:14" x14ac:dyDescent="0.2">
      <c r="B37" s="21">
        <f t="shared" si="1"/>
        <v>33</v>
      </c>
      <c r="C37" s="19"/>
      <c r="D37" s="22"/>
      <c r="E37" s="48"/>
      <c r="F37" s="22"/>
      <c r="G37" s="26"/>
      <c r="H37" s="49"/>
      <c r="I37" s="50"/>
      <c r="J37" s="51"/>
      <c r="K37" s="23"/>
      <c r="L37" s="24"/>
      <c r="M37" s="53"/>
      <c r="N37" s="25"/>
    </row>
    <row r="38" spans="2:14" x14ac:dyDescent="0.2">
      <c r="B38" s="21">
        <f t="shared" si="1"/>
        <v>34</v>
      </c>
      <c r="C38" s="19"/>
      <c r="D38" s="22"/>
      <c r="E38" s="48"/>
      <c r="F38" s="22"/>
      <c r="G38" s="26"/>
      <c r="H38" s="49"/>
      <c r="I38" s="50"/>
      <c r="J38" s="51"/>
      <c r="K38" s="23"/>
      <c r="L38" s="24"/>
      <c r="M38" s="53"/>
      <c r="N38" s="25"/>
    </row>
    <row r="39" spans="2:14" x14ac:dyDescent="0.2">
      <c r="B39" s="21">
        <f t="shared" si="1"/>
        <v>35</v>
      </c>
      <c r="C39" s="19"/>
      <c r="D39" s="22"/>
      <c r="E39" s="48"/>
      <c r="F39" s="22"/>
      <c r="G39" s="26"/>
      <c r="H39" s="49"/>
      <c r="I39" s="50"/>
      <c r="J39" s="51"/>
      <c r="K39" s="23"/>
      <c r="L39" s="24"/>
      <c r="M39" s="53"/>
      <c r="N39" s="25"/>
    </row>
    <row r="40" spans="2:14" x14ac:dyDescent="0.2">
      <c r="B40" s="21">
        <f t="shared" si="1"/>
        <v>36</v>
      </c>
      <c r="C40" s="19"/>
      <c r="D40" s="22"/>
      <c r="E40" s="48"/>
      <c r="F40" s="22"/>
      <c r="G40" s="26"/>
      <c r="H40" s="49"/>
      <c r="I40" s="50"/>
      <c r="J40" s="51"/>
      <c r="K40" s="23"/>
      <c r="L40" s="24"/>
      <c r="M40" s="53"/>
      <c r="N40" s="25"/>
    </row>
    <row r="41" spans="2:14" x14ac:dyDescent="0.2">
      <c r="B41" s="21">
        <f t="shared" si="0"/>
        <v>37</v>
      </c>
      <c r="C41" s="19"/>
      <c r="D41" s="22"/>
      <c r="E41" s="48"/>
      <c r="F41" s="22"/>
      <c r="G41" s="26"/>
      <c r="H41" s="49"/>
      <c r="I41" s="50"/>
      <c r="J41" s="51"/>
      <c r="K41" s="23"/>
      <c r="L41" s="24"/>
      <c r="M41" s="53"/>
      <c r="N41" s="25"/>
    </row>
    <row r="42" spans="2:14" x14ac:dyDescent="0.2">
      <c r="B42" s="21">
        <f t="shared" si="0"/>
        <v>38</v>
      </c>
      <c r="C42" s="19"/>
      <c r="D42" s="22"/>
      <c r="E42" s="48"/>
      <c r="F42" s="22"/>
      <c r="G42" s="26"/>
      <c r="H42" s="49"/>
      <c r="I42" s="50"/>
      <c r="J42" s="51"/>
      <c r="K42" s="23"/>
      <c r="L42" s="24"/>
      <c r="M42" s="53"/>
      <c r="N42" s="25"/>
    </row>
    <row r="43" spans="2:14" x14ac:dyDescent="0.2">
      <c r="B43" s="21">
        <f t="shared" si="0"/>
        <v>39</v>
      </c>
      <c r="C43" s="19"/>
      <c r="D43" s="22"/>
      <c r="E43" s="48"/>
      <c r="F43" s="22"/>
      <c r="G43" s="26"/>
      <c r="H43" s="49"/>
      <c r="I43" s="50"/>
      <c r="J43" s="51"/>
      <c r="K43" s="23"/>
      <c r="L43" s="24"/>
      <c r="M43" s="53"/>
      <c r="N43" s="25"/>
    </row>
    <row r="44" spans="2:14" x14ac:dyDescent="0.2">
      <c r="B44" s="21">
        <f t="shared" ref="B44:B45" si="2">B43+1</f>
        <v>40</v>
      </c>
      <c r="C44" s="19"/>
      <c r="D44" s="22"/>
      <c r="E44" s="48"/>
      <c r="F44" s="22"/>
      <c r="G44" s="26"/>
      <c r="H44" s="49"/>
      <c r="I44" s="50"/>
      <c r="J44" s="51"/>
      <c r="K44" s="23"/>
      <c r="L44" s="24"/>
      <c r="M44" s="53"/>
      <c r="N44" s="25"/>
    </row>
    <row r="45" spans="2:14" x14ac:dyDescent="0.2">
      <c r="B45" s="21">
        <f t="shared" si="2"/>
        <v>41</v>
      </c>
      <c r="C45" s="19"/>
      <c r="D45" s="22"/>
      <c r="E45" s="48"/>
      <c r="F45" s="22"/>
      <c r="G45" s="26"/>
      <c r="H45" s="49"/>
      <c r="I45" s="50"/>
      <c r="J45" s="51"/>
      <c r="K45" s="23"/>
      <c r="L45" s="24"/>
      <c r="M45" s="53"/>
      <c r="N45" s="25"/>
    </row>
    <row r="46" spans="2:14" x14ac:dyDescent="0.2">
      <c r="B46" s="29"/>
      <c r="C46" s="30"/>
      <c r="D46" s="31"/>
      <c r="E46" s="32"/>
      <c r="F46" s="31"/>
      <c r="G46" s="33"/>
      <c r="H46" s="34"/>
      <c r="I46" s="35"/>
      <c r="J46" s="36"/>
      <c r="K46" s="37"/>
      <c r="L46" s="38"/>
      <c r="M46" s="55"/>
      <c r="N46" s="39"/>
    </row>
    <row r="47" spans="2:14" x14ac:dyDescent="0.2">
      <c r="B47" s="29"/>
      <c r="C47" s="30"/>
      <c r="D47" s="31"/>
      <c r="E47" s="32"/>
      <c r="F47" s="31"/>
      <c r="G47" s="33"/>
      <c r="H47" s="34"/>
      <c r="I47" s="35"/>
      <c r="J47" s="36"/>
      <c r="K47" s="37"/>
      <c r="L47" s="38"/>
      <c r="M47" s="55"/>
      <c r="N47" s="39"/>
    </row>
    <row r="48" spans="2:14" x14ac:dyDescent="0.2">
      <c r="B48" s="29"/>
      <c r="C48" s="30"/>
      <c r="D48" s="31"/>
      <c r="E48" s="32"/>
      <c r="F48" s="31"/>
      <c r="G48" s="33"/>
      <c r="H48" s="34"/>
      <c r="I48" s="35"/>
      <c r="J48" s="36"/>
      <c r="K48" s="37"/>
      <c r="L48" s="38"/>
      <c r="M48" s="55"/>
      <c r="N48" s="39"/>
    </row>
    <row r="49" spans="2:14" x14ac:dyDescent="0.2">
      <c r="B49" s="29"/>
      <c r="C49" s="30"/>
      <c r="D49" s="31"/>
      <c r="E49" s="32"/>
      <c r="F49" s="31"/>
      <c r="G49" s="33"/>
      <c r="H49" s="34"/>
      <c r="I49" s="35"/>
      <c r="J49" s="36"/>
      <c r="K49" s="37"/>
      <c r="L49" s="38"/>
      <c r="M49" s="55"/>
      <c r="N49" s="39"/>
    </row>
    <row r="50" spans="2:14" s="2" customFormat="1" ht="13.5" thickBot="1" x14ac:dyDescent="0.25">
      <c r="B50" s="28"/>
      <c r="C50" s="15"/>
      <c r="D50" s="9"/>
      <c r="E50" s="9"/>
      <c r="F50" s="17"/>
      <c r="G50" s="9"/>
      <c r="H50" s="11"/>
      <c r="I50" s="9"/>
      <c r="J50" s="9"/>
      <c r="K50" s="9"/>
      <c r="L50" s="10">
        <f>SUM(L5:L45)</f>
        <v>0</v>
      </c>
      <c r="M50" s="56"/>
      <c r="N50" s="12">
        <f>SUM(N5:N45)</f>
        <v>0</v>
      </c>
    </row>
    <row r="51" spans="2:14" s="2" customFormat="1" ht="13.5" thickTop="1" x14ac:dyDescent="0.2">
      <c r="B51" s="27"/>
      <c r="C51" s="14"/>
      <c r="D51" s="1"/>
      <c r="E51" s="1"/>
      <c r="F51" s="16"/>
      <c r="G51" s="1"/>
      <c r="H51" s="1"/>
      <c r="I51" s="1"/>
      <c r="J51" s="1"/>
      <c r="K51" s="1"/>
    </row>
  </sheetData>
  <mergeCells count="1">
    <mergeCell ref="B2:N2"/>
  </mergeCells>
  <phoneticPr fontId="10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2328-E8EF-4026-AEB6-E81D1D2FFBA8}">
  <dimension ref="A1:N43"/>
  <sheetViews>
    <sheetView tabSelected="1" topLeftCell="A19" zoomScale="124" zoomScaleNormal="124" workbookViewId="0">
      <selection activeCell="M45" sqref="M45"/>
    </sheetView>
  </sheetViews>
  <sheetFormatPr defaultRowHeight="15" x14ac:dyDescent="0.25"/>
  <cols>
    <col min="1" max="1" width="2.42578125" customWidth="1"/>
    <col min="2" max="2" width="4.28515625" bestFit="1" customWidth="1"/>
    <col min="3" max="3" width="14.5703125" bestFit="1" customWidth="1"/>
    <col min="4" max="4" width="39.5703125" bestFit="1" customWidth="1"/>
    <col min="5" max="5" width="14.42578125" bestFit="1" customWidth="1"/>
    <col min="6" max="6" width="15.85546875" customWidth="1"/>
    <col min="7" max="7" width="11.85546875" customWidth="1"/>
    <col min="8" max="8" width="10" bestFit="1" customWidth="1"/>
    <col min="9" max="9" width="12.5703125" bestFit="1" customWidth="1"/>
    <col min="10" max="10" width="11" bestFit="1" customWidth="1"/>
    <col min="11" max="11" width="10.5703125" bestFit="1" customWidth="1"/>
    <col min="12" max="12" width="15.42578125" bestFit="1" customWidth="1"/>
    <col min="13" max="13" width="15.42578125" customWidth="1"/>
    <col min="14" max="14" width="14.42578125" bestFit="1" customWidth="1"/>
  </cols>
  <sheetData>
    <row r="1" spans="1:14" ht="15.75" thickBot="1" x14ac:dyDescent="0.3">
      <c r="A1" s="1"/>
      <c r="B1" s="27"/>
      <c r="C1" s="14"/>
      <c r="D1" s="1"/>
      <c r="E1" s="1"/>
      <c r="F1" s="16"/>
      <c r="G1" s="1"/>
      <c r="H1" s="1"/>
      <c r="I1" s="1"/>
      <c r="J1" s="1"/>
      <c r="K1" s="1"/>
      <c r="L1" s="2"/>
      <c r="M1" s="2"/>
      <c r="N1" s="2"/>
    </row>
    <row r="2" spans="1:14" ht="16.5" thickTop="1" thickBot="1" x14ac:dyDescent="0.3">
      <c r="A2" s="1"/>
      <c r="B2" s="104" t="s">
        <v>26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6"/>
    </row>
    <row r="3" spans="1:14" ht="15.75" thickTop="1" x14ac:dyDescent="0.25">
      <c r="A3" s="1"/>
      <c r="B3" s="27"/>
      <c r="C3" s="14"/>
      <c r="D3" s="1"/>
      <c r="E3" s="1"/>
      <c r="F3" s="16"/>
      <c r="G3" s="1"/>
      <c r="H3" s="1"/>
      <c r="I3" s="1"/>
      <c r="J3" s="1"/>
      <c r="K3" s="1"/>
      <c r="L3" s="2"/>
      <c r="M3" s="2"/>
      <c r="N3" s="2"/>
    </row>
    <row r="4" spans="1:14" ht="26.25" thickBot="1" x14ac:dyDescent="0.3">
      <c r="A4" s="7"/>
      <c r="B4" s="91" t="s">
        <v>8</v>
      </c>
      <c r="C4" s="92" t="s">
        <v>6</v>
      </c>
      <c r="D4" s="93" t="s">
        <v>2</v>
      </c>
      <c r="E4" s="93" t="s">
        <v>5</v>
      </c>
      <c r="F4" s="93" t="s">
        <v>11</v>
      </c>
      <c r="G4" s="93" t="s">
        <v>10</v>
      </c>
      <c r="H4" s="93" t="s">
        <v>3</v>
      </c>
      <c r="I4" s="93" t="s">
        <v>0</v>
      </c>
      <c r="J4" s="93" t="s">
        <v>4</v>
      </c>
      <c r="K4" s="93" t="s">
        <v>7</v>
      </c>
      <c r="L4" s="94" t="s">
        <v>9</v>
      </c>
      <c r="M4" s="95" t="s">
        <v>18</v>
      </c>
      <c r="N4" s="96" t="s">
        <v>1</v>
      </c>
    </row>
    <row r="5" spans="1:14" x14ac:dyDescent="0.25">
      <c r="A5" s="1"/>
      <c r="B5" s="72">
        <v>1</v>
      </c>
      <c r="C5" s="73" t="s">
        <v>13</v>
      </c>
      <c r="D5" s="74" t="s">
        <v>14</v>
      </c>
      <c r="E5" s="74" t="s">
        <v>15</v>
      </c>
      <c r="F5" s="75">
        <v>9000001</v>
      </c>
      <c r="G5" s="76">
        <v>46058</v>
      </c>
      <c r="H5" s="77" t="s">
        <v>16</v>
      </c>
      <c r="I5" s="78">
        <v>149.125</v>
      </c>
      <c r="J5" s="79" t="s">
        <v>17</v>
      </c>
      <c r="K5" s="79">
        <v>6700</v>
      </c>
      <c r="L5" s="80">
        <f>(K5*I5)</f>
        <v>999137.5</v>
      </c>
      <c r="M5" s="81">
        <v>0.18</v>
      </c>
      <c r="N5" s="80">
        <f>+M5*L5</f>
        <v>179844.75</v>
      </c>
    </row>
    <row r="6" spans="1:14" x14ac:dyDescent="0.25">
      <c r="A6" s="1"/>
      <c r="B6" s="68">
        <f>B5+1</f>
        <v>2</v>
      </c>
      <c r="C6" s="60" t="s">
        <v>19</v>
      </c>
      <c r="D6" s="59" t="s">
        <v>20</v>
      </c>
      <c r="E6" s="59" t="s">
        <v>15</v>
      </c>
      <c r="F6" s="61">
        <v>9000002</v>
      </c>
      <c r="G6" s="62">
        <v>46075</v>
      </c>
      <c r="H6" s="63" t="s">
        <v>16</v>
      </c>
      <c r="I6" s="64">
        <v>92.06</v>
      </c>
      <c r="J6" s="65" t="s">
        <v>17</v>
      </c>
      <c r="K6" s="65">
        <v>6700</v>
      </c>
      <c r="L6" s="66">
        <f>(K6*I6)</f>
        <v>616802</v>
      </c>
      <c r="M6" s="67">
        <v>0.18</v>
      </c>
      <c r="N6" s="66">
        <f>+M6*L6</f>
        <v>111024.36</v>
      </c>
    </row>
    <row r="7" spans="1:14" x14ac:dyDescent="0.25">
      <c r="A7" s="1"/>
      <c r="B7" s="68">
        <f t="shared" ref="B7:B41" si="0">B6+1</f>
        <v>3</v>
      </c>
      <c r="C7" s="60" t="s">
        <v>21</v>
      </c>
      <c r="D7" s="59" t="s">
        <v>22</v>
      </c>
      <c r="E7" s="59" t="s">
        <v>15</v>
      </c>
      <c r="F7" s="61">
        <v>9000003</v>
      </c>
      <c r="G7" s="62">
        <v>46076</v>
      </c>
      <c r="H7" s="63" t="s">
        <v>16</v>
      </c>
      <c r="I7" s="64">
        <v>308.26</v>
      </c>
      <c r="J7" s="65" t="s">
        <v>17</v>
      </c>
      <c r="K7" s="65">
        <v>6700</v>
      </c>
      <c r="L7" s="66">
        <f>(K7*I7)</f>
        <v>2065342</v>
      </c>
      <c r="M7" s="67">
        <v>0.18</v>
      </c>
      <c r="N7" s="66">
        <f>+M7*L7</f>
        <v>371761.56</v>
      </c>
    </row>
    <row r="8" spans="1:14" x14ac:dyDescent="0.25">
      <c r="A8" s="1"/>
      <c r="B8" s="68">
        <f t="shared" si="0"/>
        <v>4</v>
      </c>
      <c r="C8" s="60" t="s">
        <v>13</v>
      </c>
      <c r="D8" s="59" t="s">
        <v>14</v>
      </c>
      <c r="E8" s="59" t="s">
        <v>15</v>
      </c>
      <c r="F8" s="61">
        <v>9000004</v>
      </c>
      <c r="G8" s="62">
        <v>46077</v>
      </c>
      <c r="H8" s="63" t="s">
        <v>16</v>
      </c>
      <c r="I8" s="64">
        <v>232.48599999999999</v>
      </c>
      <c r="J8" s="65" t="s">
        <v>17</v>
      </c>
      <c r="K8" s="65">
        <v>6700</v>
      </c>
      <c r="L8" s="66">
        <f>(K8*I8)</f>
        <v>1557656.2</v>
      </c>
      <c r="M8" s="67">
        <v>0.18</v>
      </c>
      <c r="N8" s="66">
        <f>+M8*L8</f>
        <v>280378.11599999998</v>
      </c>
    </row>
    <row r="9" spans="1:14" x14ac:dyDescent="0.25">
      <c r="A9" s="1"/>
      <c r="B9" s="68">
        <f t="shared" si="0"/>
        <v>5</v>
      </c>
      <c r="C9" s="60" t="s">
        <v>21</v>
      </c>
      <c r="D9" s="59" t="s">
        <v>22</v>
      </c>
      <c r="E9" s="59" t="s">
        <v>15</v>
      </c>
      <c r="F9" s="61">
        <v>9000005</v>
      </c>
      <c r="G9" s="62">
        <v>46078</v>
      </c>
      <c r="H9" s="63" t="s">
        <v>16</v>
      </c>
      <c r="I9" s="64">
        <v>266.2</v>
      </c>
      <c r="J9" s="65" t="s">
        <v>17</v>
      </c>
      <c r="K9" s="65">
        <v>6700</v>
      </c>
      <c r="L9" s="66">
        <f t="shared" ref="L9" si="1">(K9*I9)</f>
        <v>1783540</v>
      </c>
      <c r="M9" s="67">
        <v>0.18</v>
      </c>
      <c r="N9" s="66">
        <f t="shared" ref="N9" si="2">+M9*L9</f>
        <v>321037.2</v>
      </c>
    </row>
    <row r="10" spans="1:14" x14ac:dyDescent="0.25">
      <c r="A10" s="1"/>
      <c r="B10" s="68">
        <f t="shared" si="0"/>
        <v>6</v>
      </c>
      <c r="C10" s="60" t="s">
        <v>21</v>
      </c>
      <c r="D10" s="59" t="s">
        <v>22</v>
      </c>
      <c r="E10" s="59" t="s">
        <v>15</v>
      </c>
      <c r="F10" s="61">
        <v>9000006</v>
      </c>
      <c r="G10" s="62">
        <v>46080</v>
      </c>
      <c r="H10" s="63" t="s">
        <v>16</v>
      </c>
      <c r="I10" s="64">
        <v>248.92</v>
      </c>
      <c r="J10" s="65" t="s">
        <v>17</v>
      </c>
      <c r="K10" s="65">
        <v>6700</v>
      </c>
      <c r="L10" s="66">
        <f t="shared" ref="L10" si="3">(K10*I10)</f>
        <v>1667764</v>
      </c>
      <c r="M10" s="67">
        <v>0.18</v>
      </c>
      <c r="N10" s="66">
        <f t="shared" ref="N10" si="4">+M10*L10</f>
        <v>300197.51999999996</v>
      </c>
    </row>
    <row r="11" spans="1:14" x14ac:dyDescent="0.25">
      <c r="A11" s="1"/>
      <c r="B11" s="68">
        <f t="shared" si="0"/>
        <v>7</v>
      </c>
      <c r="C11" s="58" t="s">
        <v>24</v>
      </c>
      <c r="D11" s="58" t="s">
        <v>25</v>
      </c>
      <c r="E11" s="59" t="s">
        <v>15</v>
      </c>
      <c r="F11" s="61" t="s">
        <v>23</v>
      </c>
      <c r="G11" s="69">
        <v>46080</v>
      </c>
      <c r="H11" s="63" t="s">
        <v>16</v>
      </c>
      <c r="I11" s="64">
        <v>345</v>
      </c>
      <c r="J11" s="65" t="s">
        <v>17</v>
      </c>
      <c r="K11" s="65">
        <v>6700</v>
      </c>
      <c r="L11" s="66">
        <f t="shared" ref="L11" si="5">(K11*I11)</f>
        <v>2311500</v>
      </c>
      <c r="M11" s="67">
        <v>0.18</v>
      </c>
      <c r="N11" s="66">
        <f t="shared" ref="N11" si="6">+M11*L11</f>
        <v>416070</v>
      </c>
    </row>
    <row r="12" spans="1:14" x14ac:dyDescent="0.25">
      <c r="A12" s="1"/>
      <c r="B12" s="68">
        <f t="shared" si="0"/>
        <v>8</v>
      </c>
      <c r="C12" s="60" t="s">
        <v>13</v>
      </c>
      <c r="D12" s="59" t="s">
        <v>14</v>
      </c>
      <c r="E12" s="59" t="s">
        <v>15</v>
      </c>
      <c r="F12" s="61">
        <v>9000007</v>
      </c>
      <c r="G12" s="62">
        <v>46082</v>
      </c>
      <c r="H12" s="63" t="s">
        <v>16</v>
      </c>
      <c r="I12" s="64">
        <v>362.61</v>
      </c>
      <c r="J12" s="65" t="s">
        <v>17</v>
      </c>
      <c r="K12" s="65">
        <v>6700</v>
      </c>
      <c r="L12" s="66">
        <f t="shared" ref="L12:L18" si="7">(K12*I12)</f>
        <v>2429487</v>
      </c>
      <c r="M12" s="67">
        <v>0.18</v>
      </c>
      <c r="N12" s="66">
        <f t="shared" ref="N12:N18" si="8">+M12*L12</f>
        <v>437307.66</v>
      </c>
    </row>
    <row r="13" spans="1:14" x14ac:dyDescent="0.25">
      <c r="A13" s="1"/>
      <c r="B13" s="68">
        <f t="shared" si="0"/>
        <v>9</v>
      </c>
      <c r="C13" s="60" t="s">
        <v>13</v>
      </c>
      <c r="D13" s="59" t="s">
        <v>14</v>
      </c>
      <c r="E13" s="59" t="s">
        <v>15</v>
      </c>
      <c r="F13" s="61">
        <v>9000008</v>
      </c>
      <c r="G13" s="62">
        <v>46082</v>
      </c>
      <c r="H13" s="63" t="s">
        <v>16</v>
      </c>
      <c r="I13" s="64">
        <v>127.95699999999999</v>
      </c>
      <c r="J13" s="65" t="s">
        <v>17</v>
      </c>
      <c r="K13" s="65">
        <v>6700</v>
      </c>
      <c r="L13" s="66">
        <f t="shared" si="7"/>
        <v>857311.89999999991</v>
      </c>
      <c r="M13" s="67">
        <v>0.18</v>
      </c>
      <c r="N13" s="66">
        <f t="shared" si="8"/>
        <v>154316.14199999996</v>
      </c>
    </row>
    <row r="14" spans="1:14" x14ac:dyDescent="0.25">
      <c r="A14" s="1"/>
      <c r="B14" s="68">
        <f t="shared" si="0"/>
        <v>10</v>
      </c>
      <c r="C14" s="60" t="s">
        <v>19</v>
      </c>
      <c r="D14" s="59" t="s">
        <v>20</v>
      </c>
      <c r="E14" s="59" t="s">
        <v>15</v>
      </c>
      <c r="F14" s="61">
        <v>9000009</v>
      </c>
      <c r="G14" s="62">
        <v>46089</v>
      </c>
      <c r="H14" s="63" t="s">
        <v>16</v>
      </c>
      <c r="I14" s="70">
        <v>75.064999999999998</v>
      </c>
      <c r="J14" s="65" t="s">
        <v>17</v>
      </c>
      <c r="K14" s="65">
        <v>6700</v>
      </c>
      <c r="L14" s="66">
        <f t="shared" si="7"/>
        <v>502935.5</v>
      </c>
      <c r="M14" s="67">
        <v>0.18</v>
      </c>
      <c r="N14" s="66">
        <f t="shared" si="8"/>
        <v>90528.39</v>
      </c>
    </row>
    <row r="15" spans="1:14" x14ac:dyDescent="0.25">
      <c r="A15" s="1"/>
      <c r="B15" s="68">
        <f t="shared" si="0"/>
        <v>11</v>
      </c>
      <c r="C15" s="60" t="s">
        <v>21</v>
      </c>
      <c r="D15" s="59" t="s">
        <v>22</v>
      </c>
      <c r="E15" s="59" t="s">
        <v>15</v>
      </c>
      <c r="F15" s="61">
        <v>9000010</v>
      </c>
      <c r="G15" s="62">
        <v>46090</v>
      </c>
      <c r="H15" s="63" t="s">
        <v>16</v>
      </c>
      <c r="I15" s="64">
        <v>252.93</v>
      </c>
      <c r="J15" s="65" t="s">
        <v>17</v>
      </c>
      <c r="K15" s="65">
        <v>6700</v>
      </c>
      <c r="L15" s="66">
        <f t="shared" si="7"/>
        <v>1694631</v>
      </c>
      <c r="M15" s="67">
        <v>0.18</v>
      </c>
      <c r="N15" s="66">
        <f t="shared" si="8"/>
        <v>305033.58</v>
      </c>
    </row>
    <row r="16" spans="1:14" x14ac:dyDescent="0.25">
      <c r="A16" s="1"/>
      <c r="B16" s="68">
        <f t="shared" si="0"/>
        <v>12</v>
      </c>
      <c r="C16" s="60" t="s">
        <v>13</v>
      </c>
      <c r="D16" s="59" t="s">
        <v>14</v>
      </c>
      <c r="E16" s="59" t="s">
        <v>15</v>
      </c>
      <c r="F16" s="61">
        <v>9000011</v>
      </c>
      <c r="G16" s="62">
        <v>46092</v>
      </c>
      <c r="H16" s="63" t="s">
        <v>16</v>
      </c>
      <c r="I16" s="64">
        <v>272.47000000000003</v>
      </c>
      <c r="J16" s="65" t="s">
        <v>17</v>
      </c>
      <c r="K16" s="65">
        <v>6700</v>
      </c>
      <c r="L16" s="66">
        <f t="shared" si="7"/>
        <v>1825549.0000000002</v>
      </c>
      <c r="M16" s="67">
        <v>0.18</v>
      </c>
      <c r="N16" s="66">
        <f t="shared" si="8"/>
        <v>328598.82</v>
      </c>
    </row>
    <row r="17" spans="1:14" x14ac:dyDescent="0.25">
      <c r="A17" s="1"/>
      <c r="B17" s="68">
        <f t="shared" si="0"/>
        <v>13</v>
      </c>
      <c r="C17" s="60" t="s">
        <v>13</v>
      </c>
      <c r="D17" s="59" t="s">
        <v>14</v>
      </c>
      <c r="E17" s="59" t="s">
        <v>15</v>
      </c>
      <c r="F17" s="61">
        <v>9000012</v>
      </c>
      <c r="G17" s="62">
        <v>46093</v>
      </c>
      <c r="H17" s="63" t="s">
        <v>16</v>
      </c>
      <c r="I17" s="64">
        <v>127.755</v>
      </c>
      <c r="J17" s="65" t="s">
        <v>17</v>
      </c>
      <c r="K17" s="65">
        <v>6700</v>
      </c>
      <c r="L17" s="66">
        <f t="shared" si="7"/>
        <v>855958.5</v>
      </c>
      <c r="M17" s="67">
        <v>0.18</v>
      </c>
      <c r="N17" s="66">
        <f t="shared" si="8"/>
        <v>154072.53</v>
      </c>
    </row>
    <row r="18" spans="1:14" x14ac:dyDescent="0.25">
      <c r="A18" s="1"/>
      <c r="B18" s="68">
        <f t="shared" si="0"/>
        <v>14</v>
      </c>
      <c r="C18" s="60" t="s">
        <v>21</v>
      </c>
      <c r="D18" s="59" t="s">
        <v>22</v>
      </c>
      <c r="E18" s="59" t="s">
        <v>15</v>
      </c>
      <c r="F18" s="61">
        <v>9000013</v>
      </c>
      <c r="G18" s="62">
        <v>46093</v>
      </c>
      <c r="H18" s="63" t="s">
        <v>16</v>
      </c>
      <c r="I18" s="64">
        <v>153.46</v>
      </c>
      <c r="J18" s="65" t="s">
        <v>17</v>
      </c>
      <c r="K18" s="65">
        <v>6700</v>
      </c>
      <c r="L18" s="66">
        <f t="shared" si="7"/>
        <v>1028182</v>
      </c>
      <c r="M18" s="67">
        <v>0.18</v>
      </c>
      <c r="N18" s="66">
        <f t="shared" si="8"/>
        <v>185072.75999999998</v>
      </c>
    </row>
    <row r="19" spans="1:14" x14ac:dyDescent="0.25">
      <c r="A19" s="1"/>
      <c r="B19" s="68">
        <f t="shared" si="0"/>
        <v>15</v>
      </c>
      <c r="C19" s="60" t="s">
        <v>13</v>
      </c>
      <c r="D19" s="59" t="s">
        <v>14</v>
      </c>
      <c r="E19" s="59" t="s">
        <v>15</v>
      </c>
      <c r="F19" s="61">
        <v>9000014</v>
      </c>
      <c r="G19" s="62">
        <v>46098</v>
      </c>
      <c r="H19" s="63" t="s">
        <v>16</v>
      </c>
      <c r="I19" s="64">
        <v>175.46100000000001</v>
      </c>
      <c r="J19" s="65" t="s">
        <v>17</v>
      </c>
      <c r="K19" s="65">
        <v>6700</v>
      </c>
      <c r="L19" s="66">
        <f t="shared" ref="L19" si="9">(K19*I19)</f>
        <v>1175588.7000000002</v>
      </c>
      <c r="M19" s="67">
        <v>0.18</v>
      </c>
      <c r="N19" s="66">
        <f t="shared" ref="N19" si="10">+M19*L19</f>
        <v>211605.96600000001</v>
      </c>
    </row>
    <row r="20" spans="1:14" x14ac:dyDescent="0.25">
      <c r="A20" s="1"/>
      <c r="B20" s="68">
        <f t="shared" si="0"/>
        <v>16</v>
      </c>
      <c r="C20" s="60" t="s">
        <v>13</v>
      </c>
      <c r="D20" s="59" t="s">
        <v>14</v>
      </c>
      <c r="E20" s="59" t="s">
        <v>15</v>
      </c>
      <c r="F20" s="61">
        <v>9000015</v>
      </c>
      <c r="G20" s="69">
        <v>46111</v>
      </c>
      <c r="H20" s="63" t="s">
        <v>16</v>
      </c>
      <c r="I20" s="64">
        <v>103.449</v>
      </c>
      <c r="J20" s="65" t="s">
        <v>17</v>
      </c>
      <c r="K20" s="65">
        <v>6700</v>
      </c>
      <c r="L20" s="66">
        <f t="shared" ref="L20" si="11">(K20*I20)</f>
        <v>693108.29999999993</v>
      </c>
      <c r="M20" s="67">
        <v>0.18</v>
      </c>
      <c r="N20" s="66">
        <f t="shared" ref="N20" si="12">+M20*L20</f>
        <v>124759.49399999998</v>
      </c>
    </row>
    <row r="21" spans="1:14" x14ac:dyDescent="0.25">
      <c r="A21" s="1"/>
      <c r="B21" s="68">
        <f t="shared" si="0"/>
        <v>17</v>
      </c>
      <c r="C21" s="60" t="s">
        <v>13</v>
      </c>
      <c r="D21" s="59" t="s">
        <v>14</v>
      </c>
      <c r="E21" s="59" t="s">
        <v>15</v>
      </c>
      <c r="F21" s="61">
        <v>9000016</v>
      </c>
      <c r="G21" s="62">
        <v>46115</v>
      </c>
      <c r="H21" s="63" t="s">
        <v>16</v>
      </c>
      <c r="I21" s="64">
        <v>48.594000000000001</v>
      </c>
      <c r="J21" s="65" t="s">
        <v>17</v>
      </c>
      <c r="K21" s="65">
        <v>6700</v>
      </c>
      <c r="L21" s="66">
        <f t="shared" ref="L21" si="13">(K21*I21)</f>
        <v>325579.8</v>
      </c>
      <c r="M21" s="67">
        <v>0.18</v>
      </c>
      <c r="N21" s="66">
        <f t="shared" ref="N21" si="14">+M21*L21</f>
        <v>58604.363999999994</v>
      </c>
    </row>
    <row r="22" spans="1:14" x14ac:dyDescent="0.25">
      <c r="A22" s="1"/>
      <c r="B22" s="68">
        <f t="shared" si="0"/>
        <v>18</v>
      </c>
      <c r="C22" s="60" t="s">
        <v>13</v>
      </c>
      <c r="D22" s="59" t="s">
        <v>14</v>
      </c>
      <c r="E22" s="59" t="s">
        <v>15</v>
      </c>
      <c r="F22" s="61">
        <v>9000017</v>
      </c>
      <c r="G22" s="62">
        <v>46120</v>
      </c>
      <c r="H22" s="63" t="s">
        <v>16</v>
      </c>
      <c r="I22" s="64">
        <v>190.911</v>
      </c>
      <c r="J22" s="65" t="s">
        <v>17</v>
      </c>
      <c r="K22" s="65">
        <v>6700</v>
      </c>
      <c r="L22" s="66">
        <f t="shared" ref="L22" si="15">(K22*I22)</f>
        <v>1279103.7</v>
      </c>
      <c r="M22" s="67">
        <v>0.18</v>
      </c>
      <c r="N22" s="66">
        <f t="shared" ref="N22" si="16">+M22*L22</f>
        <v>230238.666</v>
      </c>
    </row>
    <row r="23" spans="1:14" x14ac:dyDescent="0.25">
      <c r="A23" s="1"/>
      <c r="B23" s="68">
        <f t="shared" si="0"/>
        <v>19</v>
      </c>
      <c r="C23" s="60" t="s">
        <v>13</v>
      </c>
      <c r="D23" s="59" t="s">
        <v>14</v>
      </c>
      <c r="E23" s="59" t="s">
        <v>15</v>
      </c>
      <c r="F23" s="61">
        <v>9000018</v>
      </c>
      <c r="G23" s="62">
        <v>46122</v>
      </c>
      <c r="H23" s="63" t="s">
        <v>16</v>
      </c>
      <c r="I23" s="64">
        <v>165.023</v>
      </c>
      <c r="J23" s="65" t="s">
        <v>17</v>
      </c>
      <c r="K23" s="65">
        <v>6700</v>
      </c>
      <c r="L23" s="66">
        <f t="shared" ref="L23" si="17">(K23*I23)</f>
        <v>1105654.0999999999</v>
      </c>
      <c r="M23" s="67">
        <v>0.18</v>
      </c>
      <c r="N23" s="66">
        <f t="shared" ref="N23" si="18">+M23*L23</f>
        <v>199017.73799999995</v>
      </c>
    </row>
    <row r="24" spans="1:14" x14ac:dyDescent="0.25">
      <c r="A24" s="1"/>
      <c r="B24" s="68">
        <f t="shared" si="0"/>
        <v>20</v>
      </c>
      <c r="C24" s="60" t="s">
        <v>13</v>
      </c>
      <c r="D24" s="59" t="s">
        <v>14</v>
      </c>
      <c r="E24" s="59" t="s">
        <v>15</v>
      </c>
      <c r="F24" s="61">
        <v>9000019</v>
      </c>
      <c r="G24" s="62">
        <v>46132</v>
      </c>
      <c r="H24" s="63" t="s">
        <v>16</v>
      </c>
      <c r="I24" s="71">
        <v>151.84100000000001</v>
      </c>
      <c r="J24" s="65" t="s">
        <v>17</v>
      </c>
      <c r="K24" s="65">
        <v>6700</v>
      </c>
      <c r="L24" s="66">
        <f t="shared" ref="L24" si="19">(K24*I24)</f>
        <v>1017334.7000000001</v>
      </c>
      <c r="M24" s="67">
        <v>0.18</v>
      </c>
      <c r="N24" s="66">
        <f t="shared" ref="N24" si="20">+M24*L24</f>
        <v>183120.24600000001</v>
      </c>
    </row>
    <row r="25" spans="1:14" x14ac:dyDescent="0.25">
      <c r="A25" s="1"/>
      <c r="B25" s="68">
        <f t="shared" si="0"/>
        <v>21</v>
      </c>
      <c r="C25" s="60" t="s">
        <v>13</v>
      </c>
      <c r="D25" s="59" t="s">
        <v>14</v>
      </c>
      <c r="E25" s="59" t="s">
        <v>15</v>
      </c>
      <c r="F25" s="61">
        <v>9000020</v>
      </c>
      <c r="G25" s="62">
        <v>46133</v>
      </c>
      <c r="H25" s="63" t="s">
        <v>16</v>
      </c>
      <c r="I25" s="71">
        <v>128.375</v>
      </c>
      <c r="J25" s="65" t="s">
        <v>17</v>
      </c>
      <c r="K25" s="65">
        <v>6700</v>
      </c>
      <c r="L25" s="66">
        <f t="shared" ref="L25" si="21">(K25*I25)</f>
        <v>860112.5</v>
      </c>
      <c r="M25" s="67">
        <v>0.18</v>
      </c>
      <c r="N25" s="66">
        <f t="shared" ref="N25" si="22">+M25*L25</f>
        <v>154820.25</v>
      </c>
    </row>
    <row r="26" spans="1:14" x14ac:dyDescent="0.25">
      <c r="A26" s="1"/>
      <c r="B26" s="68">
        <f t="shared" si="0"/>
        <v>22</v>
      </c>
      <c r="C26" s="60" t="s">
        <v>13</v>
      </c>
      <c r="D26" s="59" t="s">
        <v>14</v>
      </c>
      <c r="E26" s="59" t="s">
        <v>15</v>
      </c>
      <c r="F26" s="61">
        <v>9000021</v>
      </c>
      <c r="G26" s="69">
        <v>46137</v>
      </c>
      <c r="H26" s="63" t="s">
        <v>16</v>
      </c>
      <c r="I26" s="71">
        <v>224.745</v>
      </c>
      <c r="J26" s="65" t="s">
        <v>17</v>
      </c>
      <c r="K26" s="65">
        <v>6700</v>
      </c>
      <c r="L26" s="66">
        <f t="shared" ref="L26" si="23">(K26*I26)</f>
        <v>1505791.5</v>
      </c>
      <c r="M26" s="67">
        <v>0.18</v>
      </c>
      <c r="N26" s="66">
        <f t="shared" ref="N26" si="24">+M26*L26</f>
        <v>271042.46999999997</v>
      </c>
    </row>
    <row r="27" spans="1:14" x14ac:dyDescent="0.25">
      <c r="A27" s="1"/>
      <c r="B27" s="68">
        <f t="shared" si="0"/>
        <v>23</v>
      </c>
      <c r="C27" s="60" t="s">
        <v>13</v>
      </c>
      <c r="D27" s="59" t="s">
        <v>14</v>
      </c>
      <c r="E27" s="59" t="s">
        <v>15</v>
      </c>
      <c r="F27" s="61">
        <v>9000022</v>
      </c>
      <c r="G27" s="62">
        <v>46144</v>
      </c>
      <c r="H27" s="63" t="s">
        <v>16</v>
      </c>
      <c r="I27" s="71">
        <v>234.60400000000001</v>
      </c>
      <c r="J27" s="65" t="s">
        <v>17</v>
      </c>
      <c r="K27" s="65">
        <v>6700</v>
      </c>
      <c r="L27" s="66">
        <f t="shared" ref="L27" si="25">(K27*I27)</f>
        <v>1571846.8</v>
      </c>
      <c r="M27" s="67">
        <v>0.18</v>
      </c>
      <c r="N27" s="66">
        <f t="shared" ref="N27" si="26">+M27*L27</f>
        <v>282932.424</v>
      </c>
    </row>
    <row r="28" spans="1:14" x14ac:dyDescent="0.25">
      <c r="A28" s="1"/>
      <c r="B28" s="68">
        <f t="shared" si="0"/>
        <v>24</v>
      </c>
      <c r="C28" s="60" t="s">
        <v>13</v>
      </c>
      <c r="D28" s="59" t="s">
        <v>14</v>
      </c>
      <c r="E28" s="59" t="s">
        <v>15</v>
      </c>
      <c r="F28" s="61">
        <v>9000023</v>
      </c>
      <c r="G28" s="62">
        <v>46146</v>
      </c>
      <c r="H28" s="63" t="s">
        <v>16</v>
      </c>
      <c r="I28" s="71">
        <v>176.089</v>
      </c>
      <c r="J28" s="65" t="s">
        <v>17</v>
      </c>
      <c r="K28" s="65">
        <v>6700</v>
      </c>
      <c r="L28" s="66">
        <f t="shared" ref="L28" si="27">(K28*I28)</f>
        <v>1179796.3</v>
      </c>
      <c r="M28" s="67">
        <v>0.18</v>
      </c>
      <c r="N28" s="66">
        <f t="shared" ref="N28" si="28">+M28*L28</f>
        <v>212363.334</v>
      </c>
    </row>
    <row r="29" spans="1:14" x14ac:dyDescent="0.25">
      <c r="A29" s="1"/>
      <c r="B29" s="68">
        <f t="shared" si="0"/>
        <v>25</v>
      </c>
      <c r="C29" s="60" t="s">
        <v>13</v>
      </c>
      <c r="D29" s="59" t="s">
        <v>14</v>
      </c>
      <c r="E29" s="59" t="s">
        <v>15</v>
      </c>
      <c r="F29" s="61">
        <v>9000024</v>
      </c>
      <c r="G29" s="62">
        <v>46156</v>
      </c>
      <c r="H29" s="63" t="s">
        <v>16</v>
      </c>
      <c r="I29" s="71">
        <v>176.50399999999999</v>
      </c>
      <c r="J29" s="65" t="s">
        <v>17</v>
      </c>
      <c r="K29" s="65">
        <v>6700</v>
      </c>
      <c r="L29" s="66">
        <f t="shared" ref="L29" si="29">(K29*I29)</f>
        <v>1182576.8</v>
      </c>
      <c r="M29" s="67">
        <v>0.18</v>
      </c>
      <c r="N29" s="66">
        <f t="shared" ref="N29" si="30">+M29*L29</f>
        <v>212863.82399999999</v>
      </c>
    </row>
    <row r="30" spans="1:14" x14ac:dyDescent="0.25">
      <c r="A30" s="1"/>
      <c r="B30" s="68">
        <f t="shared" si="0"/>
        <v>26</v>
      </c>
      <c r="C30" s="60" t="s">
        <v>13</v>
      </c>
      <c r="D30" s="59" t="s">
        <v>14</v>
      </c>
      <c r="E30" s="59" t="s">
        <v>15</v>
      </c>
      <c r="F30" s="61">
        <v>9000025</v>
      </c>
      <c r="G30" s="69">
        <v>46167</v>
      </c>
      <c r="H30" s="63" t="s">
        <v>16</v>
      </c>
      <c r="I30" s="71">
        <v>278.44900000000001</v>
      </c>
      <c r="J30" s="65" t="s">
        <v>17</v>
      </c>
      <c r="K30" s="65">
        <v>6700</v>
      </c>
      <c r="L30" s="66">
        <f t="shared" ref="L30" si="31">(K30*I30)</f>
        <v>1865608.3</v>
      </c>
      <c r="M30" s="67">
        <v>0.18</v>
      </c>
      <c r="N30" s="66">
        <f t="shared" ref="N30" si="32">+M30*L30</f>
        <v>335809.49400000001</v>
      </c>
    </row>
    <row r="31" spans="1:14" x14ac:dyDescent="0.25">
      <c r="A31" s="1"/>
      <c r="B31" s="68">
        <f t="shared" si="0"/>
        <v>27</v>
      </c>
      <c r="C31" s="60" t="s">
        <v>13</v>
      </c>
      <c r="D31" s="59" t="s">
        <v>14</v>
      </c>
      <c r="E31" s="59" t="s">
        <v>15</v>
      </c>
      <c r="F31" s="61">
        <v>9000026</v>
      </c>
      <c r="G31" s="62">
        <v>46176</v>
      </c>
      <c r="H31" s="63" t="s">
        <v>16</v>
      </c>
      <c r="I31" s="71">
        <v>132.13999999999999</v>
      </c>
      <c r="J31" s="65" t="s">
        <v>17</v>
      </c>
      <c r="K31" s="65">
        <v>6700</v>
      </c>
      <c r="L31" s="66">
        <f>(K31*I31)</f>
        <v>885337.99999999988</v>
      </c>
      <c r="M31" s="67">
        <v>0.18</v>
      </c>
      <c r="N31" s="66">
        <f t="shared" ref="N31:N33" si="33">+M31*L31</f>
        <v>159360.83999999997</v>
      </c>
    </row>
    <row r="32" spans="1:14" x14ac:dyDescent="0.25">
      <c r="A32" s="1"/>
      <c r="B32" s="68">
        <f t="shared" si="0"/>
        <v>28</v>
      </c>
      <c r="C32" s="60" t="s">
        <v>13</v>
      </c>
      <c r="D32" s="59" t="s">
        <v>14</v>
      </c>
      <c r="E32" s="59" t="s">
        <v>15</v>
      </c>
      <c r="F32" s="61">
        <v>9000027</v>
      </c>
      <c r="G32" s="69">
        <v>46182</v>
      </c>
      <c r="H32" s="63" t="s">
        <v>16</v>
      </c>
      <c r="I32" s="71">
        <v>65.16</v>
      </c>
      <c r="J32" s="65" t="s">
        <v>17</v>
      </c>
      <c r="K32" s="65">
        <v>6700</v>
      </c>
      <c r="L32" s="66">
        <f>K32*I32</f>
        <v>436572</v>
      </c>
      <c r="M32" s="67">
        <v>0.18</v>
      </c>
      <c r="N32" s="66">
        <f t="shared" si="33"/>
        <v>78582.959999999992</v>
      </c>
    </row>
    <row r="33" spans="1:14" x14ac:dyDescent="0.25">
      <c r="A33" s="1"/>
      <c r="B33" s="68">
        <f t="shared" si="0"/>
        <v>29</v>
      </c>
      <c r="C33" s="60" t="s">
        <v>13</v>
      </c>
      <c r="D33" s="59" t="s">
        <v>14</v>
      </c>
      <c r="E33" s="59" t="s">
        <v>15</v>
      </c>
      <c r="F33" s="61">
        <v>9000028</v>
      </c>
      <c r="G33" s="62">
        <v>46213</v>
      </c>
      <c r="H33" s="63" t="s">
        <v>16</v>
      </c>
      <c r="I33" s="71">
        <v>204.44499999999999</v>
      </c>
      <c r="J33" s="65" t="s">
        <v>17</v>
      </c>
      <c r="K33" s="65">
        <v>5000</v>
      </c>
      <c r="L33" s="66">
        <f t="shared" ref="L33" si="34">(K33*I33)</f>
        <v>1022225</v>
      </c>
      <c r="M33" s="67">
        <v>0.18</v>
      </c>
      <c r="N33" s="66">
        <f t="shared" si="33"/>
        <v>184000.5</v>
      </c>
    </row>
    <row r="34" spans="1:14" x14ac:dyDescent="0.25">
      <c r="A34" s="1"/>
      <c r="B34" s="68">
        <f t="shared" si="0"/>
        <v>30</v>
      </c>
      <c r="C34" s="60" t="s">
        <v>13</v>
      </c>
      <c r="D34" s="59" t="s">
        <v>14</v>
      </c>
      <c r="E34" s="59" t="s">
        <v>15</v>
      </c>
      <c r="F34" s="61">
        <v>9000029</v>
      </c>
      <c r="G34" s="62">
        <v>46218</v>
      </c>
      <c r="H34" s="63" t="s">
        <v>16</v>
      </c>
      <c r="I34" s="71">
        <v>239</v>
      </c>
      <c r="J34" s="65" t="s">
        <v>17</v>
      </c>
      <c r="K34" s="65">
        <v>5000</v>
      </c>
      <c r="L34" s="66">
        <f t="shared" ref="L34:L38" si="35">(K34*I34)</f>
        <v>1195000</v>
      </c>
      <c r="M34" s="67">
        <v>0.18</v>
      </c>
      <c r="N34" s="66">
        <f t="shared" ref="N34:N38" si="36">+M34*L34</f>
        <v>215100</v>
      </c>
    </row>
    <row r="35" spans="1:14" x14ac:dyDescent="0.25">
      <c r="A35" s="1"/>
      <c r="B35" s="68">
        <f t="shared" si="0"/>
        <v>31</v>
      </c>
      <c r="C35" s="60" t="s">
        <v>13</v>
      </c>
      <c r="D35" s="59" t="s">
        <v>14</v>
      </c>
      <c r="E35" s="59" t="s">
        <v>15</v>
      </c>
      <c r="F35" s="61">
        <v>9000030</v>
      </c>
      <c r="G35" s="62">
        <v>46221</v>
      </c>
      <c r="H35" s="63" t="s">
        <v>16</v>
      </c>
      <c r="I35" s="71">
        <v>192.05</v>
      </c>
      <c r="J35" s="65" t="s">
        <v>17</v>
      </c>
      <c r="K35" s="65">
        <v>5000</v>
      </c>
      <c r="L35" s="66">
        <f t="shared" si="35"/>
        <v>960250</v>
      </c>
      <c r="M35" s="67">
        <v>0.18</v>
      </c>
      <c r="N35" s="66">
        <f t="shared" si="36"/>
        <v>172845</v>
      </c>
    </row>
    <row r="36" spans="1:14" x14ac:dyDescent="0.25">
      <c r="A36" s="1"/>
      <c r="B36" s="68">
        <f t="shared" si="0"/>
        <v>32</v>
      </c>
      <c r="C36" s="60" t="s">
        <v>13</v>
      </c>
      <c r="D36" s="59" t="s">
        <v>14</v>
      </c>
      <c r="E36" s="59" t="s">
        <v>15</v>
      </c>
      <c r="F36" s="61">
        <v>9000031</v>
      </c>
      <c r="G36" s="62">
        <v>46227</v>
      </c>
      <c r="H36" s="63" t="s">
        <v>16</v>
      </c>
      <c r="I36" s="71">
        <v>100.495</v>
      </c>
      <c r="J36" s="65" t="s">
        <v>17</v>
      </c>
      <c r="K36" s="65">
        <v>5000</v>
      </c>
      <c r="L36" s="66">
        <f t="shared" si="35"/>
        <v>502475</v>
      </c>
      <c r="M36" s="67">
        <v>0.18</v>
      </c>
      <c r="N36" s="66">
        <f t="shared" si="36"/>
        <v>90445.5</v>
      </c>
    </row>
    <row r="37" spans="1:14" x14ac:dyDescent="0.25">
      <c r="A37" s="1"/>
      <c r="B37" s="68">
        <f t="shared" si="0"/>
        <v>33</v>
      </c>
      <c r="C37" s="60" t="s">
        <v>13</v>
      </c>
      <c r="D37" s="59" t="s">
        <v>14</v>
      </c>
      <c r="E37" s="59" t="s">
        <v>15</v>
      </c>
      <c r="F37" s="61">
        <v>9000032</v>
      </c>
      <c r="G37" s="69">
        <v>46233</v>
      </c>
      <c r="H37" s="63" t="s">
        <v>16</v>
      </c>
      <c r="I37" s="71">
        <v>123.59</v>
      </c>
      <c r="J37" s="65" t="s">
        <v>17</v>
      </c>
      <c r="K37" s="65">
        <v>5000</v>
      </c>
      <c r="L37" s="66">
        <f t="shared" si="35"/>
        <v>617950</v>
      </c>
      <c r="M37" s="67">
        <v>0.18</v>
      </c>
      <c r="N37" s="66">
        <f t="shared" si="36"/>
        <v>111231</v>
      </c>
    </row>
    <row r="38" spans="1:14" ht="15.75" thickBot="1" x14ac:dyDescent="0.3">
      <c r="A38" s="1"/>
      <c r="B38" s="82">
        <f t="shared" si="0"/>
        <v>34</v>
      </c>
      <c r="C38" s="83" t="s">
        <v>13</v>
      </c>
      <c r="D38" s="84" t="s">
        <v>14</v>
      </c>
      <c r="E38" s="84" t="s">
        <v>15</v>
      </c>
      <c r="F38" s="57">
        <v>9000033</v>
      </c>
      <c r="G38" s="85">
        <v>46238</v>
      </c>
      <c r="H38" s="86" t="s">
        <v>16</v>
      </c>
      <c r="I38" s="87">
        <v>187.57</v>
      </c>
      <c r="J38" s="88" t="s">
        <v>17</v>
      </c>
      <c r="K38" s="88">
        <v>5000</v>
      </c>
      <c r="L38" s="89">
        <f t="shared" si="35"/>
        <v>937850</v>
      </c>
      <c r="M38" s="90">
        <v>0.18</v>
      </c>
      <c r="N38" s="89">
        <f t="shared" si="36"/>
        <v>168813</v>
      </c>
    </row>
    <row r="39" spans="1:14" ht="15.75" thickBot="1" x14ac:dyDescent="0.3">
      <c r="A39" s="1"/>
      <c r="B39" s="82">
        <f t="shared" si="0"/>
        <v>35</v>
      </c>
      <c r="C39" s="83" t="s">
        <v>13</v>
      </c>
      <c r="D39" s="84" t="s">
        <v>14</v>
      </c>
      <c r="E39" s="84" t="s">
        <v>15</v>
      </c>
      <c r="F39" s="57">
        <v>9000034</v>
      </c>
      <c r="G39" s="85">
        <v>46242</v>
      </c>
      <c r="H39" s="86" t="s">
        <v>16</v>
      </c>
      <c r="I39" s="103">
        <v>158.10499999999999</v>
      </c>
      <c r="J39" s="88" t="s">
        <v>17</v>
      </c>
      <c r="K39" s="88">
        <v>5000</v>
      </c>
      <c r="L39" s="89">
        <f t="shared" ref="L39" si="37">(K39*I39)</f>
        <v>790525</v>
      </c>
      <c r="M39" s="90">
        <v>0.18</v>
      </c>
      <c r="N39" s="89">
        <f t="shared" ref="N39" si="38">+M39*L39</f>
        <v>142294.5</v>
      </c>
    </row>
    <row r="40" spans="1:14" ht="15.75" thickBot="1" x14ac:dyDescent="0.3">
      <c r="A40" s="1"/>
      <c r="B40" s="82">
        <f t="shared" si="0"/>
        <v>36</v>
      </c>
      <c r="C40" s="83" t="s">
        <v>13</v>
      </c>
      <c r="D40" s="84" t="s">
        <v>14</v>
      </c>
      <c r="E40" s="84" t="s">
        <v>15</v>
      </c>
      <c r="F40" s="57">
        <v>9000035</v>
      </c>
      <c r="G40" s="85">
        <v>46252</v>
      </c>
      <c r="H40" s="86" t="s">
        <v>16</v>
      </c>
      <c r="I40" s="103">
        <v>152</v>
      </c>
      <c r="J40" s="88" t="s">
        <v>17</v>
      </c>
      <c r="K40" s="88">
        <v>5000</v>
      </c>
      <c r="L40" s="89">
        <f t="shared" ref="L40" si="39">(K40*I40)</f>
        <v>760000</v>
      </c>
      <c r="M40" s="90">
        <v>0.18</v>
      </c>
      <c r="N40" s="89">
        <f t="shared" ref="N40" si="40">+M40*L40</f>
        <v>136800</v>
      </c>
    </row>
    <row r="41" spans="1:14" ht="15.75" thickBot="1" x14ac:dyDescent="0.3">
      <c r="A41" s="1"/>
      <c r="B41" s="82">
        <f t="shared" si="0"/>
        <v>37</v>
      </c>
      <c r="C41" s="83" t="s">
        <v>13</v>
      </c>
      <c r="D41" s="84" t="s">
        <v>14</v>
      </c>
      <c r="E41" s="84" t="s">
        <v>15</v>
      </c>
      <c r="F41" s="57">
        <v>9000036</v>
      </c>
      <c r="G41" s="85">
        <v>46263</v>
      </c>
      <c r="H41" s="86" t="s">
        <v>16</v>
      </c>
      <c r="I41" s="103">
        <v>62</v>
      </c>
      <c r="J41" s="88" t="s">
        <v>17</v>
      </c>
      <c r="K41" s="88">
        <v>5000</v>
      </c>
      <c r="L41" s="89">
        <f t="shared" ref="L41" si="41">(K41*I41)</f>
        <v>310000</v>
      </c>
      <c r="M41" s="90">
        <v>0.18</v>
      </c>
      <c r="N41" s="89">
        <f t="shared" ref="N41" si="42">+M41*L41</f>
        <v>55800</v>
      </c>
    </row>
    <row r="42" spans="1:14" ht="15.75" thickBot="1" x14ac:dyDescent="0.3">
      <c r="A42" s="1"/>
      <c r="B42" s="97"/>
      <c r="C42" s="98"/>
      <c r="D42" s="99"/>
      <c r="E42" s="99"/>
      <c r="F42" s="100"/>
      <c r="G42" s="99"/>
      <c r="H42" s="99"/>
      <c r="I42" s="101">
        <f>SUM(I5:I41)</f>
        <v>6684.8979999999992</v>
      </c>
      <c r="J42" s="99"/>
      <c r="K42" s="99"/>
      <c r="L42" s="101">
        <f>SUM(L5:L41)</f>
        <v>42376083.100000001</v>
      </c>
      <c r="M42" s="102"/>
      <c r="N42" s="101">
        <f>SUM(N5:N41)</f>
        <v>7627694.9579999987</v>
      </c>
    </row>
    <row r="43" spans="1:14" ht="15.75" thickTop="1" x14ac:dyDescent="0.25">
      <c r="A43" s="1"/>
      <c r="B43" s="27"/>
      <c r="C43" s="14"/>
      <c r="D43" s="1"/>
      <c r="E43" s="1"/>
      <c r="F43" s="16"/>
      <c r="G43" s="1"/>
      <c r="H43" s="1"/>
      <c r="I43" s="1"/>
      <c r="J43" s="1"/>
      <c r="K43" s="1"/>
      <c r="L43" s="2"/>
      <c r="M43" s="2"/>
      <c r="N43" s="2"/>
    </row>
  </sheetData>
  <autoFilter ref="B4:N42" xr:uid="{7F902328-E8EF-4026-AEB6-E81D1D2FFBA8}"/>
  <mergeCells count="1">
    <mergeCell ref="B2:N2"/>
  </mergeCells>
  <conditionalFormatting sqref="F1:F1048576">
    <cfRule type="duplicateValues" dxfId="1" priority="2"/>
  </conditionalFormatting>
  <conditionalFormatting sqref="I4:I31">
    <cfRule type="duplicateValues" dxfId="0" priority="1"/>
  </conditionalFormatting>
  <printOptions horizontalCentered="1"/>
  <pageMargins left="0" right="0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Register</vt:lpstr>
      <vt:lpstr>Sale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2026-08-29T11:51:56Z</dcterms:modified>
  <cp:contentStatus/>
</cp:coreProperties>
</file>